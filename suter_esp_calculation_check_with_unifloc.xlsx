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G:\OpenCode_projects\Project_1\unifloc_vba-master_suter_dev\suter_esp_analyzer\"/>
    </mc:Choice>
  </mc:AlternateContent>
  <bookViews>
    <workbookView xWindow="0" yWindow="0" windowWidth="23040" windowHeight="9192" firstSheet="1" activeTab="1"/>
  </bookViews>
  <sheets>
    <sheet name="README" sheetId="1" state="hidden" r:id="rId1"/>
    <sheet name="Проверка" sheetId="2" r:id="rId2"/>
    <sheet name="Unifloc" sheetId="7" r:id="rId3"/>
    <sheet name="Pumps" sheetId="3" r:id="rId4"/>
    <sheet name="CatalogData" sheetId="4" r:id="rId5"/>
    <sheet name="SuterWide" sheetId="5" r:id="rId6"/>
  </sheets>
  <externalReferences>
    <externalReference r:id="rId7"/>
  </externalReferences>
  <definedNames>
    <definedName name="esp_json">#REF!</definedName>
    <definedName name="esp_json_1">Unifloc!$B$13</definedName>
    <definedName name="feed_json">Unifloc!$H$15</definedName>
    <definedName name="PumpIds">Pumps!$A$2:$A$57</definedName>
    <definedName name="PVT_json">Unifloc!$H$10</definedName>
  </definedNames>
  <calcPr calcId="162913" forceFullCalc="1"/>
</workbook>
</file>

<file path=xl/calcChain.xml><?xml version="1.0" encoding="utf-8"?>
<calcChain xmlns="http://schemas.openxmlformats.org/spreadsheetml/2006/main">
  <c r="M1" i="7" l="1"/>
  <c r="B8" i="2"/>
  <c r="B4" i="7"/>
  <c r="B61" i="2"/>
  <c r="Z61" i="2" s="1"/>
  <c r="B60" i="2"/>
  <c r="C60" i="2" s="1"/>
  <c r="B59" i="2"/>
  <c r="Z59" i="2" s="1"/>
  <c r="B58" i="2"/>
  <c r="C58" i="2" s="1"/>
  <c r="B57" i="2"/>
  <c r="Z57" i="2" s="1"/>
  <c r="B56" i="2"/>
  <c r="Z56" i="2" s="1"/>
  <c r="B55" i="2"/>
  <c r="C55" i="2" s="1"/>
  <c r="B54" i="2"/>
  <c r="Z54" i="2" s="1"/>
  <c r="B53" i="2"/>
  <c r="C53" i="2" s="1"/>
  <c r="B52" i="2"/>
  <c r="D52" i="2" s="1"/>
  <c r="B51" i="2"/>
  <c r="Z51" i="2" s="1"/>
  <c r="B50" i="2"/>
  <c r="Z50" i="2" s="1"/>
  <c r="B49" i="2"/>
  <c r="Z49" i="2" s="1"/>
  <c r="B48" i="2"/>
  <c r="C48" i="2" s="1"/>
  <c r="B47" i="2"/>
  <c r="Z47" i="2" s="1"/>
  <c r="B46" i="2"/>
  <c r="C46" i="2" s="1"/>
  <c r="B45" i="2"/>
  <c r="Z45" i="2" s="1"/>
  <c r="B44" i="2"/>
  <c r="C44" i="2" s="1"/>
  <c r="B43" i="2"/>
  <c r="Z43" i="2" s="1"/>
  <c r="B42" i="2"/>
  <c r="Z42" i="2" s="1"/>
  <c r="B41" i="2"/>
  <c r="C41" i="2" s="1"/>
  <c r="B40" i="2"/>
  <c r="B39" i="2"/>
  <c r="C39" i="2" s="1"/>
  <c r="B38" i="2"/>
  <c r="B37" i="2"/>
  <c r="B36" i="2"/>
  <c r="B35" i="2"/>
  <c r="D35" i="2" s="1"/>
  <c r="B34" i="2"/>
  <c r="C34" i="2" s="1"/>
  <c r="B33" i="2"/>
  <c r="C33" i="2" s="1"/>
  <c r="B32" i="2"/>
  <c r="F32" i="2" s="1"/>
  <c r="B31" i="2"/>
  <c r="C31" i="2" s="1"/>
  <c r="B30" i="2"/>
  <c r="D30" i="2" s="1"/>
  <c r="B29" i="2"/>
  <c r="F29" i="2" s="1"/>
  <c r="B28" i="2"/>
  <c r="C28" i="2" s="1"/>
  <c r="B27" i="2"/>
  <c r="D27" i="2" s="1"/>
  <c r="B26" i="2"/>
  <c r="B25" i="2"/>
  <c r="B24" i="2"/>
  <c r="B23" i="2"/>
  <c r="E23" i="2" s="1"/>
  <c r="B22" i="2"/>
  <c r="C22" i="2" s="1"/>
  <c r="B17" i="2"/>
  <c r="B9" i="2"/>
  <c r="B10" i="2" s="1"/>
  <c r="B7" i="2"/>
  <c r="B6" i="2"/>
  <c r="B5" i="2"/>
  <c r="B4" i="2"/>
  <c r="B3" i="2"/>
  <c r="H10" i="7"/>
  <c r="C1" i="7"/>
  <c r="B5" i="7"/>
  <c r="B13" i="7" s="1"/>
  <c r="H15" i="7"/>
  <c r="B21" i="7" l="1"/>
  <c r="M3" i="7"/>
  <c r="M2" i="7"/>
  <c r="B20" i="7"/>
  <c r="B19" i="7"/>
  <c r="G28" i="2"/>
  <c r="H28" i="2" s="1"/>
  <c r="K28" i="2" s="1"/>
  <c r="F30" i="2"/>
  <c r="C54" i="2"/>
  <c r="G54" i="2"/>
  <c r="H54" i="2"/>
  <c r="I54" i="2"/>
  <c r="C27" i="2"/>
  <c r="G27" i="2" s="1"/>
  <c r="I27" i="2" s="1"/>
  <c r="E27" i="2"/>
  <c r="F27" i="2"/>
  <c r="D56" i="2"/>
  <c r="E29" i="2"/>
  <c r="E34" i="2"/>
  <c r="G45" i="2"/>
  <c r="C52" i="2"/>
  <c r="C56" i="2"/>
  <c r="E30" i="2"/>
  <c r="E35" i="2"/>
  <c r="J42" i="2"/>
  <c r="D46" i="2"/>
  <c r="E53" i="2"/>
  <c r="E56" i="2"/>
  <c r="E46" i="2"/>
  <c r="G56" i="2"/>
  <c r="F46" i="2"/>
  <c r="F45" i="2"/>
  <c r="D31" i="2"/>
  <c r="F44" i="2"/>
  <c r="E54" i="2"/>
  <c r="D57" i="2"/>
  <c r="E31" i="2"/>
  <c r="G44" i="2"/>
  <c r="F54" i="2"/>
  <c r="F57" i="2"/>
  <c r="B13" i="2"/>
  <c r="C45" i="2"/>
  <c r="D34" i="2"/>
  <c r="F31" i="2"/>
  <c r="D45" i="2"/>
  <c r="E45" i="2"/>
  <c r="D51" i="2"/>
  <c r="E51" i="2"/>
  <c r="E52" i="2"/>
  <c r="F53" i="2"/>
  <c r="D58" i="2"/>
  <c r="E22" i="2"/>
  <c r="E28" i="2"/>
  <c r="D33" i="2"/>
  <c r="C36" i="2"/>
  <c r="G36" i="2" s="1"/>
  <c r="I36" i="2" s="1"/>
  <c r="C43" i="2"/>
  <c r="H44" i="2"/>
  <c r="C47" i="2"/>
  <c r="F51" i="2"/>
  <c r="F52" i="2"/>
  <c r="G53" i="2"/>
  <c r="E58" i="2"/>
  <c r="F22" i="2"/>
  <c r="F28" i="2"/>
  <c r="E33" i="2"/>
  <c r="D36" i="2"/>
  <c r="D43" i="2"/>
  <c r="D47" i="2"/>
  <c r="G51" i="2"/>
  <c r="G52" i="2"/>
  <c r="H53" i="2"/>
  <c r="J54" i="2"/>
  <c r="F56" i="2"/>
  <c r="F58" i="2"/>
  <c r="E43" i="2"/>
  <c r="E47" i="2"/>
  <c r="H51" i="2"/>
  <c r="H52" i="2"/>
  <c r="I53" i="2"/>
  <c r="C29" i="2"/>
  <c r="G29" i="2" s="1"/>
  <c r="C37" i="2"/>
  <c r="G37" i="2" s="1"/>
  <c r="H37" i="2" s="1"/>
  <c r="K37" i="2" s="1"/>
  <c r="C42" i="2"/>
  <c r="F43" i="2"/>
  <c r="I51" i="2"/>
  <c r="I52" i="2"/>
  <c r="J53" i="2"/>
  <c r="D55" i="2"/>
  <c r="H56" i="2"/>
  <c r="C59" i="2"/>
  <c r="F33" i="2"/>
  <c r="D29" i="2"/>
  <c r="D42" i="2"/>
  <c r="G43" i="2"/>
  <c r="D48" i="2"/>
  <c r="J51" i="2"/>
  <c r="J52" i="2"/>
  <c r="K53" i="2"/>
  <c r="R53" i="2" s="1"/>
  <c r="E55" i="2"/>
  <c r="D59" i="2"/>
  <c r="E42" i="2"/>
  <c r="H43" i="2"/>
  <c r="K51" i="2"/>
  <c r="S51" i="2" s="1"/>
  <c r="V51" i="2" s="1"/>
  <c r="W51" i="2" s="1"/>
  <c r="K52" i="2"/>
  <c r="O52" i="2" s="1"/>
  <c r="F55" i="2"/>
  <c r="C57" i="2"/>
  <c r="E59" i="2"/>
  <c r="C32" i="2"/>
  <c r="F34" i="2"/>
  <c r="D39" i="2"/>
  <c r="C40" i="2"/>
  <c r="G40" i="2" s="1"/>
  <c r="D41" i="2"/>
  <c r="I41" i="2" s="1"/>
  <c r="F42" i="2"/>
  <c r="I43" i="2"/>
  <c r="C49" i="2"/>
  <c r="G55" i="2"/>
  <c r="D32" i="2"/>
  <c r="E39" i="2"/>
  <c r="D40" i="2"/>
  <c r="G42" i="2"/>
  <c r="X51" i="2"/>
  <c r="X52" i="2"/>
  <c r="D54" i="2"/>
  <c r="H55" i="2"/>
  <c r="E57" i="2"/>
  <c r="D60" i="2"/>
  <c r="Y51" i="2"/>
  <c r="I55" i="2"/>
  <c r="D28" i="2"/>
  <c r="E41" i="2"/>
  <c r="C30" i="2"/>
  <c r="G30" i="2" s="1"/>
  <c r="I30" i="2" s="1"/>
  <c r="E32" i="2"/>
  <c r="C35" i="2"/>
  <c r="G35" i="2" s="1"/>
  <c r="H35" i="2" s="1"/>
  <c r="K35" i="2" s="1"/>
  <c r="F39" i="2"/>
  <c r="E40" i="2"/>
  <c r="F41" i="2"/>
  <c r="H42" i="2"/>
  <c r="D44" i="2"/>
  <c r="G39" i="2"/>
  <c r="H39" i="2" s="1"/>
  <c r="K39" i="2" s="1"/>
  <c r="F40" i="2"/>
  <c r="G41" i="2"/>
  <c r="H41" i="2" s="1"/>
  <c r="K41" i="2" s="1"/>
  <c r="I42" i="2"/>
  <c r="E44" i="2"/>
  <c r="C51" i="2"/>
  <c r="D53" i="2"/>
  <c r="G57" i="2"/>
  <c r="C61" i="2"/>
  <c r="D24" i="2"/>
  <c r="E26" i="2"/>
  <c r="D26" i="2"/>
  <c r="C26" i="2"/>
  <c r="G26" i="2" s="1"/>
  <c r="F26" i="2"/>
  <c r="G31" i="2"/>
  <c r="H31" i="2" s="1"/>
  <c r="K31" i="2" s="1"/>
  <c r="G33" i="2"/>
  <c r="I33" i="2" s="1"/>
  <c r="D23" i="2"/>
  <c r="F38" i="2"/>
  <c r="E38" i="2"/>
  <c r="D38" i="2"/>
  <c r="C38" i="2"/>
  <c r="G38" i="2" s="1"/>
  <c r="H38" i="2" s="1"/>
  <c r="K38" i="2" s="1"/>
  <c r="B11" i="2"/>
  <c r="B12" i="2" s="1"/>
  <c r="F25" i="2"/>
  <c r="E25" i="2"/>
  <c r="D25" i="2"/>
  <c r="G22" i="2"/>
  <c r="H22" i="2" s="1"/>
  <c r="K22" i="2" s="1"/>
  <c r="C25" i="2"/>
  <c r="G25" i="2" s="1"/>
  <c r="F24" i="2"/>
  <c r="E24" i="2"/>
  <c r="C24" i="2"/>
  <c r="G24" i="2" s="1"/>
  <c r="Y50" i="2"/>
  <c r="X50" i="2"/>
  <c r="K50" i="2"/>
  <c r="J50" i="2"/>
  <c r="I50" i="2"/>
  <c r="H50" i="2"/>
  <c r="G50" i="2"/>
  <c r="F50" i="2"/>
  <c r="E50" i="2"/>
  <c r="D50" i="2"/>
  <c r="C50" i="2"/>
  <c r="F23" i="2"/>
  <c r="C23" i="2"/>
  <c r="G23" i="2" s="1"/>
  <c r="J23" i="2" s="1"/>
  <c r="D22" i="2"/>
  <c r="G34" i="2"/>
  <c r="H34" i="2" s="1"/>
  <c r="K34" i="2" s="1"/>
  <c r="F35" i="2"/>
  <c r="E36" i="2"/>
  <c r="D37" i="2"/>
  <c r="K42" i="2"/>
  <c r="J43" i="2"/>
  <c r="I44" i="2"/>
  <c r="H45" i="2"/>
  <c r="G46" i="2"/>
  <c r="F47" i="2"/>
  <c r="E48" i="2"/>
  <c r="D49" i="2"/>
  <c r="Y52" i="2"/>
  <c r="X53" i="2"/>
  <c r="K54" i="2"/>
  <c r="J55" i="2"/>
  <c r="I56" i="2"/>
  <c r="H57" i="2"/>
  <c r="G58" i="2"/>
  <c r="F59" i="2"/>
  <c r="E60" i="2"/>
  <c r="D61" i="2"/>
  <c r="F36" i="2"/>
  <c r="E37" i="2"/>
  <c r="X42" i="2"/>
  <c r="K43" i="2"/>
  <c r="J44" i="2"/>
  <c r="I45" i="2"/>
  <c r="H46" i="2"/>
  <c r="G47" i="2"/>
  <c r="F48" i="2"/>
  <c r="E49" i="2"/>
  <c r="Z52" i="2"/>
  <c r="Y53" i="2"/>
  <c r="X54" i="2"/>
  <c r="K55" i="2"/>
  <c r="J56" i="2"/>
  <c r="I57" i="2"/>
  <c r="H58" i="2"/>
  <c r="G59" i="2"/>
  <c r="F60" i="2"/>
  <c r="E61" i="2"/>
  <c r="F37" i="2"/>
  <c r="Y42" i="2"/>
  <c r="X43" i="2"/>
  <c r="K44" i="2"/>
  <c r="J45" i="2"/>
  <c r="I46" i="2"/>
  <c r="H47" i="2"/>
  <c r="G48" i="2"/>
  <c r="F49" i="2"/>
  <c r="Z53" i="2"/>
  <c r="Y54" i="2"/>
  <c r="X55" i="2"/>
  <c r="K56" i="2"/>
  <c r="J57" i="2"/>
  <c r="I58" i="2"/>
  <c r="H59" i="2"/>
  <c r="G60" i="2"/>
  <c r="F61" i="2"/>
  <c r="Y43" i="2"/>
  <c r="X44" i="2"/>
  <c r="K45" i="2"/>
  <c r="J46" i="2"/>
  <c r="I47" i="2"/>
  <c r="H48" i="2"/>
  <c r="G49" i="2"/>
  <c r="Y55" i="2"/>
  <c r="X56" i="2"/>
  <c r="K57" i="2"/>
  <c r="J58" i="2"/>
  <c r="I59" i="2"/>
  <c r="H60" i="2"/>
  <c r="G61" i="2"/>
  <c r="Y44" i="2"/>
  <c r="X45" i="2"/>
  <c r="K46" i="2"/>
  <c r="J47" i="2"/>
  <c r="I48" i="2"/>
  <c r="H49" i="2"/>
  <c r="Z55" i="2"/>
  <c r="Y56" i="2"/>
  <c r="X57" i="2"/>
  <c r="K58" i="2"/>
  <c r="J59" i="2"/>
  <c r="I60" i="2"/>
  <c r="H61" i="2"/>
  <c r="Z44" i="2"/>
  <c r="Y45" i="2"/>
  <c r="X46" i="2"/>
  <c r="K47" i="2"/>
  <c r="J48" i="2"/>
  <c r="I49" i="2"/>
  <c r="Y57" i="2"/>
  <c r="X58" i="2"/>
  <c r="K59" i="2"/>
  <c r="J60" i="2"/>
  <c r="I61" i="2"/>
  <c r="Y46" i="2"/>
  <c r="X47" i="2"/>
  <c r="K48" i="2"/>
  <c r="J49" i="2"/>
  <c r="Y58" i="2"/>
  <c r="X59" i="2"/>
  <c r="K60" i="2"/>
  <c r="J61" i="2"/>
  <c r="Z46" i="2"/>
  <c r="Y47" i="2"/>
  <c r="X48" i="2"/>
  <c r="K49" i="2"/>
  <c r="Z58" i="2"/>
  <c r="Y59" i="2"/>
  <c r="X60" i="2"/>
  <c r="K61" i="2"/>
  <c r="Y48" i="2"/>
  <c r="X49" i="2"/>
  <c r="Y60" i="2"/>
  <c r="X61" i="2"/>
  <c r="Z48" i="2"/>
  <c r="Y49" i="2"/>
  <c r="Z60" i="2"/>
  <c r="Y61" i="2"/>
  <c r="E27" i="7"/>
  <c r="E28" i="7" s="1"/>
  <c r="A30" i="7" s="1" a="1"/>
  <c r="M5" i="7"/>
  <c r="A41" i="7" l="1"/>
  <c r="A42" i="7"/>
  <c r="A32" i="7"/>
  <c r="A44" i="7"/>
  <c r="A30" i="7"/>
  <c r="A31" i="7"/>
  <c r="A43" i="7"/>
  <c r="A33" i="7"/>
  <c r="A45" i="7"/>
  <c r="A37" i="7"/>
  <c r="A50" i="7"/>
  <c r="A34" i="7"/>
  <c r="A46" i="7"/>
  <c r="A35" i="7"/>
  <c r="A47" i="7"/>
  <c r="A36" i="7"/>
  <c r="A48" i="7"/>
  <c r="A49" i="7"/>
  <c r="A38" i="7"/>
  <c r="A40" i="7"/>
  <c r="A39" i="7"/>
  <c r="I22" i="2"/>
  <c r="G32" i="2"/>
  <c r="H32" i="2" s="1"/>
  <c r="K32" i="2" s="1"/>
  <c r="N32" i="2" s="1"/>
  <c r="J39" i="2"/>
  <c r="J41" i="2"/>
  <c r="I39" i="2"/>
  <c r="N39" i="2"/>
  <c r="H40" i="2"/>
  <c r="K40" i="2" s="1"/>
  <c r="M40" i="2" s="1"/>
  <c r="J40" i="2"/>
  <c r="I40" i="2"/>
  <c r="I38" i="2"/>
  <c r="J37" i="2"/>
  <c r="I37" i="2"/>
  <c r="J38" i="2"/>
  <c r="I28" i="2"/>
  <c r="Q51" i="2"/>
  <c r="H36" i="2"/>
  <c r="K36" i="2" s="1"/>
  <c r="R36" i="2" s="1"/>
  <c r="J36" i="2"/>
  <c r="J28" i="2"/>
  <c r="H27" i="2"/>
  <c r="K27" i="2" s="1"/>
  <c r="P52" i="2"/>
  <c r="T52" i="2" s="1"/>
  <c r="U52" i="2" s="1"/>
  <c r="Q52" i="2"/>
  <c r="R52" i="2"/>
  <c r="N52" i="2"/>
  <c r="H26" i="2"/>
  <c r="K26" i="2" s="1"/>
  <c r="H25" i="2"/>
  <c r="K25" i="2" s="1"/>
  <c r="H24" i="2"/>
  <c r="K24" i="2" s="1"/>
  <c r="H23" i="2"/>
  <c r="K23" i="2" s="1"/>
  <c r="I35" i="2"/>
  <c r="J35" i="2"/>
  <c r="L41" i="2"/>
  <c r="J31" i="2"/>
  <c r="R51" i="2"/>
  <c r="P51" i="2"/>
  <c r="T51" i="2" s="1"/>
  <c r="U51" i="2" s="1"/>
  <c r="O51" i="2"/>
  <c r="N51" i="2"/>
  <c r="H29" i="2"/>
  <c r="K29" i="2" s="1"/>
  <c r="Q29" i="2" s="1"/>
  <c r="I29" i="2"/>
  <c r="J29" i="2"/>
  <c r="N41" i="2"/>
  <c r="O41" i="2"/>
  <c r="S53" i="2"/>
  <c r="V53" i="2" s="1"/>
  <c r="W53" i="2" s="1"/>
  <c r="Q41" i="2"/>
  <c r="R41" i="2"/>
  <c r="M41" i="2"/>
  <c r="S41" i="2" s="1"/>
  <c r="V41" i="2" s="1"/>
  <c r="L39" i="2"/>
  <c r="M39" i="2"/>
  <c r="J25" i="2"/>
  <c r="L53" i="2"/>
  <c r="I25" i="2"/>
  <c r="M53" i="2"/>
  <c r="S52" i="2"/>
  <c r="V52" i="2" s="1"/>
  <c r="W52" i="2" s="1"/>
  <c r="L52" i="2"/>
  <c r="N53" i="2"/>
  <c r="L51" i="2"/>
  <c r="M51" i="2"/>
  <c r="O39" i="2"/>
  <c r="O53" i="2"/>
  <c r="Q53" i="2"/>
  <c r="Q39" i="2"/>
  <c r="R39" i="2"/>
  <c r="P53" i="2"/>
  <c r="T53" i="2" s="1"/>
  <c r="U53" i="2" s="1"/>
  <c r="M52" i="2"/>
  <c r="I24" i="2"/>
  <c r="N35" i="2"/>
  <c r="M35" i="2"/>
  <c r="L35" i="2"/>
  <c r="R35" i="2"/>
  <c r="Q35" i="2"/>
  <c r="O35" i="2"/>
  <c r="O31" i="2"/>
  <c r="N31" i="2"/>
  <c r="M31" i="2"/>
  <c r="L31" i="2"/>
  <c r="R31" i="2"/>
  <c r="Q31" i="2"/>
  <c r="J24" i="2"/>
  <c r="O34" i="2"/>
  <c r="N34" i="2"/>
  <c r="M34" i="2"/>
  <c r="L34" i="2"/>
  <c r="R34" i="2"/>
  <c r="Q34" i="2"/>
  <c r="S43" i="2"/>
  <c r="V43" i="2" s="1"/>
  <c r="W43" i="2" s="1"/>
  <c r="R43" i="2"/>
  <c r="Q43" i="2"/>
  <c r="P43" i="2"/>
  <c r="T43" i="2" s="1"/>
  <c r="U43" i="2" s="1"/>
  <c r="O43" i="2"/>
  <c r="N43" i="2"/>
  <c r="M43" i="2"/>
  <c r="L43" i="2"/>
  <c r="I23" i="2"/>
  <c r="Q46" i="2"/>
  <c r="P46" i="2"/>
  <c r="T46" i="2" s="1"/>
  <c r="U46" i="2" s="1"/>
  <c r="O46" i="2"/>
  <c r="N46" i="2"/>
  <c r="M46" i="2"/>
  <c r="L46" i="2"/>
  <c r="S46" i="2"/>
  <c r="V46" i="2" s="1"/>
  <c r="W46" i="2" s="1"/>
  <c r="R46" i="2"/>
  <c r="R45" i="2"/>
  <c r="Q45" i="2"/>
  <c r="P45" i="2"/>
  <c r="T45" i="2" s="1"/>
  <c r="U45" i="2" s="1"/>
  <c r="O45" i="2"/>
  <c r="N45" i="2"/>
  <c r="M45" i="2"/>
  <c r="L45" i="2"/>
  <c r="S45" i="2"/>
  <c r="V45" i="2" s="1"/>
  <c r="W45" i="2" s="1"/>
  <c r="S55" i="2"/>
  <c r="V55" i="2" s="1"/>
  <c r="W55" i="2" s="1"/>
  <c r="R55" i="2"/>
  <c r="Q55" i="2"/>
  <c r="P55" i="2"/>
  <c r="T55" i="2" s="1"/>
  <c r="U55" i="2" s="1"/>
  <c r="O55" i="2"/>
  <c r="N55" i="2"/>
  <c r="M55" i="2"/>
  <c r="L55" i="2"/>
  <c r="P47" i="2"/>
  <c r="T47" i="2" s="1"/>
  <c r="U47" i="2" s="1"/>
  <c r="O47" i="2"/>
  <c r="N47" i="2"/>
  <c r="M47" i="2"/>
  <c r="L47" i="2"/>
  <c r="S47" i="2"/>
  <c r="V47" i="2" s="1"/>
  <c r="W47" i="2" s="1"/>
  <c r="R47" i="2"/>
  <c r="Q47" i="2"/>
  <c r="I34" i="2"/>
  <c r="M50" i="2"/>
  <c r="L50" i="2"/>
  <c r="S50" i="2"/>
  <c r="V50" i="2" s="1"/>
  <c r="W50" i="2" s="1"/>
  <c r="R50" i="2"/>
  <c r="Q50" i="2"/>
  <c r="P50" i="2"/>
  <c r="T50" i="2" s="1"/>
  <c r="U50" i="2" s="1"/>
  <c r="O50" i="2"/>
  <c r="N50" i="2"/>
  <c r="J26" i="2"/>
  <c r="Q58" i="2"/>
  <c r="P58" i="2"/>
  <c r="T58" i="2" s="1"/>
  <c r="U58" i="2" s="1"/>
  <c r="O58" i="2"/>
  <c r="N58" i="2"/>
  <c r="M58" i="2"/>
  <c r="L58" i="2"/>
  <c r="S58" i="2"/>
  <c r="V58" i="2" s="1"/>
  <c r="W58" i="2" s="1"/>
  <c r="R58" i="2"/>
  <c r="N61" i="2"/>
  <c r="M61" i="2"/>
  <c r="L61" i="2"/>
  <c r="S61" i="2"/>
  <c r="V61" i="2" s="1"/>
  <c r="W61" i="2" s="1"/>
  <c r="R61" i="2"/>
  <c r="Q61" i="2"/>
  <c r="P61" i="2"/>
  <c r="T61" i="2" s="1"/>
  <c r="U61" i="2" s="1"/>
  <c r="O61" i="2"/>
  <c r="N37" i="2"/>
  <c r="M37" i="2"/>
  <c r="L37" i="2"/>
  <c r="R37" i="2"/>
  <c r="Q37" i="2"/>
  <c r="O37" i="2"/>
  <c r="J33" i="2"/>
  <c r="I26" i="2"/>
  <c r="S44" i="2"/>
  <c r="V44" i="2" s="1"/>
  <c r="W44" i="2" s="1"/>
  <c r="R44" i="2"/>
  <c r="Q44" i="2"/>
  <c r="P44" i="2"/>
  <c r="T44" i="2" s="1"/>
  <c r="U44" i="2" s="1"/>
  <c r="O44" i="2"/>
  <c r="N44" i="2"/>
  <c r="M44" i="2"/>
  <c r="L44" i="2"/>
  <c r="O60" i="2"/>
  <c r="N60" i="2"/>
  <c r="M60" i="2"/>
  <c r="L60" i="2"/>
  <c r="S60" i="2"/>
  <c r="V60" i="2" s="1"/>
  <c r="W60" i="2" s="1"/>
  <c r="R60" i="2"/>
  <c r="Q60" i="2"/>
  <c r="P60" i="2"/>
  <c r="T60" i="2" s="1"/>
  <c r="U60" i="2" s="1"/>
  <c r="S56" i="2"/>
  <c r="V56" i="2" s="1"/>
  <c r="W56" i="2" s="1"/>
  <c r="R56" i="2"/>
  <c r="Q56" i="2"/>
  <c r="P56" i="2"/>
  <c r="T56" i="2" s="1"/>
  <c r="U56" i="2" s="1"/>
  <c r="O56" i="2"/>
  <c r="N56" i="2"/>
  <c r="M56" i="2"/>
  <c r="L56" i="2"/>
  <c r="M38" i="2"/>
  <c r="L38" i="2"/>
  <c r="R38" i="2"/>
  <c r="Q38" i="2"/>
  <c r="O38" i="2"/>
  <c r="N38" i="2"/>
  <c r="O28" i="2"/>
  <c r="N28" i="2"/>
  <c r="M28" i="2"/>
  <c r="R28" i="2"/>
  <c r="Q28" i="2"/>
  <c r="L28" i="2"/>
  <c r="J27" i="2"/>
  <c r="H30" i="2"/>
  <c r="K30" i="2" s="1"/>
  <c r="J30" i="2"/>
  <c r="R57" i="2"/>
  <c r="Q57" i="2"/>
  <c r="P57" i="2"/>
  <c r="T57" i="2" s="1"/>
  <c r="U57" i="2" s="1"/>
  <c r="O57" i="2"/>
  <c r="N57" i="2"/>
  <c r="M57" i="2"/>
  <c r="L57" i="2"/>
  <c r="S57" i="2"/>
  <c r="V57" i="2" s="1"/>
  <c r="W57" i="2" s="1"/>
  <c r="P59" i="2"/>
  <c r="T59" i="2" s="1"/>
  <c r="U59" i="2" s="1"/>
  <c r="O59" i="2"/>
  <c r="N59" i="2"/>
  <c r="M59" i="2"/>
  <c r="L59" i="2"/>
  <c r="S59" i="2"/>
  <c r="V59" i="2" s="1"/>
  <c r="W59" i="2" s="1"/>
  <c r="R59" i="2"/>
  <c r="Q59" i="2"/>
  <c r="H33" i="2"/>
  <c r="K33" i="2" s="1"/>
  <c r="O48" i="2"/>
  <c r="N48" i="2"/>
  <c r="M48" i="2"/>
  <c r="L48" i="2"/>
  <c r="S48" i="2"/>
  <c r="V48" i="2" s="1"/>
  <c r="W48" i="2" s="1"/>
  <c r="R48" i="2"/>
  <c r="Q48" i="2"/>
  <c r="P48" i="2"/>
  <c r="T48" i="2" s="1"/>
  <c r="U48" i="2" s="1"/>
  <c r="N49" i="2"/>
  <c r="M49" i="2"/>
  <c r="L49" i="2"/>
  <c r="S49" i="2"/>
  <c r="V49" i="2" s="1"/>
  <c r="W49" i="2" s="1"/>
  <c r="R49" i="2"/>
  <c r="Q49" i="2"/>
  <c r="P49" i="2"/>
  <c r="T49" i="2" s="1"/>
  <c r="U49" i="2" s="1"/>
  <c r="O49" i="2"/>
  <c r="J34" i="2"/>
  <c r="S54" i="2"/>
  <c r="V54" i="2" s="1"/>
  <c r="W54" i="2" s="1"/>
  <c r="R54" i="2"/>
  <c r="Q54" i="2"/>
  <c r="P54" i="2"/>
  <c r="T54" i="2" s="1"/>
  <c r="U54" i="2" s="1"/>
  <c r="O54" i="2"/>
  <c r="N54" i="2"/>
  <c r="M54" i="2"/>
  <c r="L54" i="2"/>
  <c r="S42" i="2"/>
  <c r="V42" i="2" s="1"/>
  <c r="W42" i="2" s="1"/>
  <c r="R42" i="2"/>
  <c r="Q42" i="2"/>
  <c r="P42" i="2"/>
  <c r="T42" i="2" s="1"/>
  <c r="U42" i="2" s="1"/>
  <c r="O42" i="2"/>
  <c r="N42" i="2"/>
  <c r="M42" i="2"/>
  <c r="L42" i="2"/>
  <c r="L22" i="2"/>
  <c r="J22" i="2"/>
  <c r="I31" i="2"/>
  <c r="B41" i="7" a="1"/>
  <c r="B46" i="7" a="1"/>
  <c r="B50" i="7" a="1"/>
  <c r="B42" i="7" a="1"/>
  <c r="B35" i="7" a="1"/>
  <c r="B32" i="7" a="1"/>
  <c r="B47" i="7" a="1"/>
  <c r="B44" i="7" a="1"/>
  <c r="B36" i="7" a="1"/>
  <c r="B30" i="7" a="1"/>
  <c r="B48" i="7" a="1"/>
  <c r="B31" i="7" a="1"/>
  <c r="B49" i="7" a="1"/>
  <c r="B43" i="7" a="1"/>
  <c r="B38" i="7" a="1"/>
  <c r="B33" i="7" a="1"/>
  <c r="B40" i="7" a="1"/>
  <c r="B45" i="7" a="1"/>
  <c r="B39" i="7" a="1"/>
  <c r="B37" i="7" a="1"/>
  <c r="B34" i="7" a="1"/>
  <c r="I32" i="2" l="1"/>
  <c r="D34" i="7"/>
  <c r="B34" i="7"/>
  <c r="C34" i="7"/>
  <c r="E34" i="7"/>
  <c r="F34" i="7"/>
  <c r="I34" i="7"/>
  <c r="L34" i="7"/>
  <c r="G34" i="7"/>
  <c r="H34" i="7"/>
  <c r="J34" i="7"/>
  <c r="K34" i="7"/>
  <c r="B37" i="7"/>
  <c r="D37" i="7"/>
  <c r="C37" i="7"/>
  <c r="E37" i="7"/>
  <c r="F37" i="7"/>
  <c r="J37" i="7"/>
  <c r="G37" i="7"/>
  <c r="H37" i="7"/>
  <c r="I37" i="7"/>
  <c r="L37" i="7"/>
  <c r="K37" i="7"/>
  <c r="B39" i="7"/>
  <c r="C39" i="7"/>
  <c r="D39" i="7"/>
  <c r="E39" i="7"/>
  <c r="I39" i="7"/>
  <c r="L39" i="7"/>
  <c r="F39" i="7"/>
  <c r="G39" i="7"/>
  <c r="H39" i="7"/>
  <c r="J39" i="7"/>
  <c r="K39" i="7"/>
  <c r="B45" i="7"/>
  <c r="C45" i="7"/>
  <c r="D45" i="7"/>
  <c r="E45" i="7"/>
  <c r="F45" i="7"/>
  <c r="G45" i="7"/>
  <c r="H45" i="7"/>
  <c r="I45" i="7"/>
  <c r="J45" i="7"/>
  <c r="L45" i="7"/>
  <c r="K45" i="7"/>
  <c r="B40" i="7"/>
  <c r="D40" i="7"/>
  <c r="C40" i="7"/>
  <c r="E40" i="7"/>
  <c r="F40" i="7"/>
  <c r="H40" i="7"/>
  <c r="J40" i="7"/>
  <c r="G40" i="7"/>
  <c r="I40" i="7"/>
  <c r="K40" i="7"/>
  <c r="L40" i="7"/>
  <c r="D33" i="7"/>
  <c r="B33" i="7"/>
  <c r="C33" i="7"/>
  <c r="E33" i="7"/>
  <c r="I33" i="7"/>
  <c r="L33" i="7"/>
  <c r="F33" i="7"/>
  <c r="J33" i="7"/>
  <c r="G33" i="7"/>
  <c r="H33" i="7"/>
  <c r="K33" i="7"/>
  <c r="C38" i="7"/>
  <c r="D38" i="7"/>
  <c r="E38" i="7"/>
  <c r="F38" i="7"/>
  <c r="G38" i="7"/>
  <c r="J38" i="7"/>
  <c r="H38" i="7"/>
  <c r="B38" i="7"/>
  <c r="I38" i="7"/>
  <c r="K38" i="7"/>
  <c r="L38" i="7"/>
  <c r="D43" i="7"/>
  <c r="B43" i="7"/>
  <c r="C43" i="7"/>
  <c r="E43" i="7"/>
  <c r="I43" i="7"/>
  <c r="F43" i="7"/>
  <c r="J43" i="7"/>
  <c r="L43" i="7"/>
  <c r="G43" i="7"/>
  <c r="H43" i="7"/>
  <c r="K43" i="7"/>
  <c r="B49" i="7"/>
  <c r="C49" i="7"/>
  <c r="D49" i="7"/>
  <c r="E49" i="7"/>
  <c r="F49" i="7"/>
  <c r="H49" i="7"/>
  <c r="J49" i="7"/>
  <c r="L49" i="7"/>
  <c r="G49" i="7"/>
  <c r="I49" i="7"/>
  <c r="K49" i="7"/>
  <c r="C31" i="7"/>
  <c r="D31" i="7"/>
  <c r="F31" i="7"/>
  <c r="E31" i="7"/>
  <c r="G31" i="7"/>
  <c r="H31" i="7"/>
  <c r="J31" i="7"/>
  <c r="K31" i="7"/>
  <c r="B31" i="7"/>
  <c r="I31" i="7"/>
  <c r="L31" i="7"/>
  <c r="C48" i="7"/>
  <c r="D48" i="7"/>
  <c r="E48" i="7"/>
  <c r="F48" i="7"/>
  <c r="G48" i="7"/>
  <c r="K48" i="7"/>
  <c r="H48" i="7"/>
  <c r="J48" i="7"/>
  <c r="L48" i="7"/>
  <c r="I48" i="7"/>
  <c r="B48" i="7"/>
  <c r="D30" i="7"/>
  <c r="B30" i="7"/>
  <c r="C30" i="7"/>
  <c r="E30" i="7"/>
  <c r="I30" i="7"/>
  <c r="J30" i="7"/>
  <c r="L30" i="7"/>
  <c r="F30" i="7"/>
  <c r="G30" i="7"/>
  <c r="H30" i="7"/>
  <c r="K30" i="7"/>
  <c r="C36" i="7"/>
  <c r="D36" i="7"/>
  <c r="F36" i="7"/>
  <c r="E36" i="7"/>
  <c r="G36" i="7"/>
  <c r="K36" i="7"/>
  <c r="B36" i="7"/>
  <c r="H36" i="7"/>
  <c r="L36" i="7"/>
  <c r="I36" i="7"/>
  <c r="J36" i="7"/>
  <c r="D44" i="7"/>
  <c r="B44" i="7"/>
  <c r="C44" i="7"/>
  <c r="E44" i="7"/>
  <c r="J44" i="7"/>
  <c r="L44" i="7"/>
  <c r="F44" i="7"/>
  <c r="G44" i="7"/>
  <c r="H44" i="7"/>
  <c r="I44" i="7"/>
  <c r="K44" i="7"/>
  <c r="B47" i="7"/>
  <c r="C47" i="7"/>
  <c r="D47" i="7"/>
  <c r="E47" i="7"/>
  <c r="L47" i="7"/>
  <c r="F47" i="7"/>
  <c r="I47" i="7"/>
  <c r="G47" i="7"/>
  <c r="H47" i="7"/>
  <c r="J47" i="7"/>
  <c r="K47" i="7"/>
  <c r="B32" i="7"/>
  <c r="C32" i="7"/>
  <c r="D32" i="7"/>
  <c r="E32" i="7"/>
  <c r="F32" i="7"/>
  <c r="G32" i="7"/>
  <c r="H32" i="7"/>
  <c r="I32" i="7"/>
  <c r="J32" i="7"/>
  <c r="L32" i="7"/>
  <c r="K32" i="7"/>
  <c r="C35" i="7"/>
  <c r="E35" i="7"/>
  <c r="F35" i="7"/>
  <c r="D35" i="7"/>
  <c r="G35" i="7"/>
  <c r="L35" i="7"/>
  <c r="B35" i="7"/>
  <c r="H35" i="7"/>
  <c r="I35" i="7"/>
  <c r="J35" i="7"/>
  <c r="K35" i="7"/>
  <c r="B42" i="7"/>
  <c r="C42" i="7"/>
  <c r="D42" i="7"/>
  <c r="E42" i="7"/>
  <c r="J42" i="7"/>
  <c r="F42" i="7"/>
  <c r="G42" i="7"/>
  <c r="H42" i="7"/>
  <c r="I42" i="7"/>
  <c r="L42" i="7"/>
  <c r="K42" i="7"/>
  <c r="C50" i="7"/>
  <c r="D50" i="7"/>
  <c r="E50" i="7"/>
  <c r="F50" i="7"/>
  <c r="G50" i="7"/>
  <c r="L50" i="7"/>
  <c r="B50" i="7"/>
  <c r="H50" i="7"/>
  <c r="K50" i="7"/>
  <c r="I50" i="7"/>
  <c r="J50" i="7"/>
  <c r="B46" i="7"/>
  <c r="C46" i="7"/>
  <c r="D46" i="7"/>
  <c r="E46" i="7"/>
  <c r="J46" i="7"/>
  <c r="F46" i="7"/>
  <c r="G46" i="7"/>
  <c r="H46" i="7"/>
  <c r="I46" i="7"/>
  <c r="L46" i="7"/>
  <c r="K46" i="7"/>
  <c r="B41" i="7"/>
  <c r="C41" i="7"/>
  <c r="D41" i="7"/>
  <c r="E41" i="7"/>
  <c r="I41" i="7"/>
  <c r="J41" i="7"/>
  <c r="L41" i="7"/>
  <c r="F41" i="7"/>
  <c r="G41" i="7"/>
  <c r="H41" i="7"/>
  <c r="K41" i="7"/>
  <c r="Q40" i="2"/>
  <c r="Q32" i="2"/>
  <c r="R32" i="2"/>
  <c r="L32" i="2"/>
  <c r="J32" i="2"/>
  <c r="N40" i="2"/>
  <c r="O32" i="2"/>
  <c r="M32" i="2"/>
  <c r="O40" i="2"/>
  <c r="L40" i="2"/>
  <c r="S40" i="2" s="1"/>
  <c r="V40" i="2" s="1"/>
  <c r="W40" i="2" s="1"/>
  <c r="R40" i="2"/>
  <c r="S39" i="2"/>
  <c r="V39" i="2" s="1"/>
  <c r="W39" i="2" s="1"/>
  <c r="W41" i="2"/>
  <c r="P39" i="2"/>
  <c r="T39" i="2" s="1"/>
  <c r="U39" i="2" s="1"/>
  <c r="P37" i="2"/>
  <c r="T37" i="2" s="1"/>
  <c r="U37" i="2" s="1"/>
  <c r="P41" i="2"/>
  <c r="T41" i="2" s="1"/>
  <c r="U41" i="2" s="1"/>
  <c r="P40" i="2"/>
  <c r="T40" i="2" s="1"/>
  <c r="U40" i="2" s="1"/>
  <c r="S38" i="2"/>
  <c r="V38" i="2" s="1"/>
  <c r="W38" i="2" s="1"/>
  <c r="L36" i="2"/>
  <c r="M36" i="2"/>
  <c r="N36" i="2"/>
  <c r="O36" i="2"/>
  <c r="Q36" i="2"/>
  <c r="O26" i="2"/>
  <c r="Q26" i="2"/>
  <c r="L26" i="2"/>
  <c r="R26" i="2"/>
  <c r="N26" i="2"/>
  <c r="M26" i="2"/>
  <c r="N25" i="2"/>
  <c r="M25" i="2"/>
  <c r="L25" i="2"/>
  <c r="O25" i="2"/>
  <c r="Q25" i="2"/>
  <c r="R25" i="2"/>
  <c r="R24" i="2"/>
  <c r="O24" i="2"/>
  <c r="N24" i="2"/>
  <c r="L24" i="2"/>
  <c r="Q24" i="2"/>
  <c r="M24" i="2"/>
  <c r="L29" i="2"/>
  <c r="R29" i="2"/>
  <c r="M29" i="2"/>
  <c r="N29" i="2"/>
  <c r="O29" i="2"/>
  <c r="S37" i="2"/>
  <c r="V37" i="2" s="1"/>
  <c r="S35" i="2"/>
  <c r="V35" i="2" s="1"/>
  <c r="W35" i="2" s="1"/>
  <c r="P38" i="2"/>
  <c r="T38" i="2" s="1"/>
  <c r="U38" i="2" s="1"/>
  <c r="P28" i="2"/>
  <c r="T28" i="2" s="1"/>
  <c r="U28" i="2" s="1"/>
  <c r="S34" i="2"/>
  <c r="V34" i="2" s="1"/>
  <c r="W34" i="2" s="1"/>
  <c r="S31" i="2"/>
  <c r="V31" i="2" s="1"/>
  <c r="W31" i="2" s="1"/>
  <c r="P34" i="2"/>
  <c r="T34" i="2" s="1"/>
  <c r="U34" i="2" s="1"/>
  <c r="P35" i="2"/>
  <c r="T35" i="2" s="1"/>
  <c r="U35" i="2" s="1"/>
  <c r="S28" i="2"/>
  <c r="V28" i="2" s="1"/>
  <c r="W28" i="2" s="1"/>
  <c r="O33" i="2"/>
  <c r="N33" i="2"/>
  <c r="M33" i="2"/>
  <c r="L33" i="2"/>
  <c r="R33" i="2"/>
  <c r="Q33" i="2"/>
  <c r="P31" i="2"/>
  <c r="T31" i="2" s="1"/>
  <c r="U31" i="2" s="1"/>
  <c r="O27" i="2"/>
  <c r="N27" i="2"/>
  <c r="R27" i="2"/>
  <c r="Q27" i="2"/>
  <c r="M27" i="2"/>
  <c r="L27" i="2"/>
  <c r="R22" i="2"/>
  <c r="Q22" i="2"/>
  <c r="M22" i="2"/>
  <c r="O22" i="2"/>
  <c r="N22" i="2"/>
  <c r="O30" i="2"/>
  <c r="N30" i="2"/>
  <c r="M30" i="2"/>
  <c r="L30" i="2"/>
  <c r="R30" i="2"/>
  <c r="Q30" i="2"/>
  <c r="R23" i="2"/>
  <c r="Q23" i="2"/>
  <c r="M23" i="2"/>
  <c r="O23" i="2"/>
  <c r="N23" i="2"/>
  <c r="L23" i="2"/>
  <c r="G19" i="7"/>
  <c r="G18" i="7"/>
  <c r="P23" i="2" l="1"/>
  <c r="T23" i="2" s="1"/>
  <c r="U23" i="2" s="1"/>
  <c r="S32" i="2"/>
  <c r="V32" i="2" s="1"/>
  <c r="W32" i="2" s="1"/>
  <c r="P32" i="2"/>
  <c r="T32" i="2" s="1"/>
  <c r="U32" i="2" s="1"/>
  <c r="P36" i="2"/>
  <c r="T36" i="2" s="1"/>
  <c r="U36" i="2" s="1"/>
  <c r="X41" i="2"/>
  <c r="S36" i="2"/>
  <c r="V36" i="2" s="1"/>
  <c r="X39" i="2"/>
  <c r="X40" i="2"/>
  <c r="S26" i="2"/>
  <c r="V26" i="2" s="1"/>
  <c r="W26" i="2" s="1"/>
  <c r="P25" i="2"/>
  <c r="T25" i="2" s="1"/>
  <c r="U25" i="2" s="1"/>
  <c r="P26" i="2"/>
  <c r="T26" i="2" s="1"/>
  <c r="U26" i="2" s="1"/>
  <c r="S29" i="2"/>
  <c r="V29" i="2" s="1"/>
  <c r="W29" i="2" s="1"/>
  <c r="S25" i="2"/>
  <c r="V25" i="2" s="1"/>
  <c r="W25" i="2" s="1"/>
  <c r="S24" i="2"/>
  <c r="V24" i="2" s="1"/>
  <c r="W24" i="2" s="1"/>
  <c r="P24" i="2"/>
  <c r="T24" i="2" s="1"/>
  <c r="U24" i="2" s="1"/>
  <c r="P29" i="2"/>
  <c r="T29" i="2" s="1"/>
  <c r="U29" i="2" s="1"/>
  <c r="X35" i="2"/>
  <c r="Z35" i="2" s="1"/>
  <c r="P30" i="2"/>
  <c r="T30" i="2" s="1"/>
  <c r="U30" i="2" s="1"/>
  <c r="W37" i="2"/>
  <c r="X37" i="2"/>
  <c r="X34" i="2"/>
  <c r="Y34" i="2" s="1"/>
  <c r="X38" i="2"/>
  <c r="S22" i="2"/>
  <c r="V22" i="2" s="1"/>
  <c r="W22" i="2" s="1"/>
  <c r="P22" i="2"/>
  <c r="T22" i="2" s="1"/>
  <c r="U22" i="2" s="1"/>
  <c r="X28" i="2"/>
  <c r="Z28" i="2" s="1"/>
  <c r="S30" i="2"/>
  <c r="V30" i="2" s="1"/>
  <c r="W30" i="2" s="1"/>
  <c r="S23" i="2"/>
  <c r="V23" i="2" s="1"/>
  <c r="W23" i="2" s="1"/>
  <c r="S33" i="2"/>
  <c r="V33" i="2" s="1"/>
  <c r="W33" i="2" s="1"/>
  <c r="S27" i="2"/>
  <c r="V27" i="2" s="1"/>
  <c r="P33" i="2"/>
  <c r="T33" i="2" s="1"/>
  <c r="U33" i="2" s="1"/>
  <c r="P27" i="2"/>
  <c r="T27" i="2" s="1"/>
  <c r="U27" i="2" s="1"/>
  <c r="X31" i="2"/>
  <c r="X32" i="2" l="1"/>
  <c r="Y32" i="2" s="1"/>
  <c r="Y39" i="2"/>
  <c r="Z39" i="2"/>
  <c r="W36" i="2"/>
  <c r="X36" i="2"/>
  <c r="Y40" i="2"/>
  <c r="Z40" i="2"/>
  <c r="Z41" i="2"/>
  <c r="Y41" i="2"/>
  <c r="X26" i="2"/>
  <c r="Y26" i="2" s="1"/>
  <c r="X25" i="2"/>
  <c r="Y25" i="2" s="1"/>
  <c r="X29" i="2"/>
  <c r="Z29" i="2" s="1"/>
  <c r="Y35" i="2"/>
  <c r="X24" i="2"/>
  <c r="Z24" i="2" s="1"/>
  <c r="Y38" i="2"/>
  <c r="Z38" i="2"/>
  <c r="Y37" i="2"/>
  <c r="Z37" i="2"/>
  <c r="X30" i="2"/>
  <c r="Z30" i="2" s="1"/>
  <c r="Z32" i="2"/>
  <c r="X27" i="2"/>
  <c r="Z27" i="2" s="1"/>
  <c r="Z34" i="2"/>
  <c r="X23" i="2"/>
  <c r="Y23" i="2" s="1"/>
  <c r="Y28" i="2"/>
  <c r="X22" i="2"/>
  <c r="Z22" i="2" s="1"/>
  <c r="W27" i="2"/>
  <c r="X33" i="2"/>
  <c r="Y31" i="2"/>
  <c r="Z31" i="2"/>
  <c r="Z36" i="2" l="1"/>
  <c r="Y36" i="2"/>
  <c r="Z26" i="2"/>
  <c r="Y29" i="2"/>
  <c r="Z25" i="2"/>
  <c r="Y24" i="2"/>
  <c r="Y27" i="2"/>
  <c r="Y30" i="2"/>
  <c r="Z23" i="2"/>
  <c r="Y22" i="2"/>
  <c r="Z33" i="2"/>
  <c r="Y33" i="2"/>
</calcChain>
</file>

<file path=xl/comments1.xml><?xml version="1.0" encoding="utf-8"?>
<comments xmlns="http://schemas.openxmlformats.org/spreadsheetml/2006/main">
  <authors>
    <author>Codex</author>
  </authors>
  <commentList>
    <comment ref="B2" authorId="0" shapeId="0">
      <text>
        <r>
          <rPr>
            <sz val="11"/>
            <color theme="1"/>
            <rFont val="Calibri"/>
            <family val="2"/>
            <scheme val="minor"/>
          </rPr>
          <t>Выберите другой ID из выпадающего списка, чтобы повторить расчет для другого ЭЦН.</t>
        </r>
      </text>
    </comment>
    <comment ref="B14" authorId="0" shapeId="0">
      <text>
        <r>
          <rPr>
            <sz val="11"/>
            <color theme="1"/>
            <rFont val="Calibri"/>
            <family val="2"/>
            <scheme val="minor"/>
          </rPr>
          <t>В v1 alpha фиксируется равным 1. Можно поменять вручную для эксперимента.</t>
        </r>
      </text>
    </comment>
  </commentList>
</comments>
</file>

<file path=xl/comments2.xml><?xml version="1.0" encoding="utf-8"?>
<comments xmlns="http://schemas.openxmlformats.org/spreadsheetml/2006/main">
  <authors>
    <author>Vlad</author>
  </authors>
  <commentLis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Номинальная подача ЭЦН, для которой задается номинальный напор.Нужна для определения ID насоса. Если ID задать непосредственно, то можно не указывать</t>
        </r>
      </text>
    </comment>
    <comment ref="H1" authorId="0" shapeId="0">
      <text>
        <r>
          <rPr>
            <sz val="9"/>
            <color indexed="81"/>
            <rFont val="Tahoma"/>
            <family val="2"/>
            <charset val="204"/>
          </rPr>
          <t>Удельная плотность газа по воздуху</t>
        </r>
      </text>
    </comment>
    <comment ref="M1" authorId="0" shapeId="0">
      <text>
        <r>
          <rPr>
            <sz val="9"/>
            <color indexed="81"/>
            <rFont val="Tahoma"/>
            <family val="2"/>
            <charset val="204"/>
          </rPr>
          <t>Подача ЭЦН для которой рассчитывается потребляемая с вала мощность ст.м3/сут</t>
        </r>
      </text>
    </comment>
    <comment ref="B2" authorId="0" shapeId="0">
      <text>
        <r>
          <rPr>
            <sz val="9"/>
            <color indexed="81"/>
            <rFont val="Tahoma"/>
            <family val="2"/>
            <charset val="204"/>
          </rPr>
          <t>Номинальный напор ЭЦН. Нужен для определения количества ступеней насоса. Если кол-во ступеней задать явно, то можно не указывать</t>
        </r>
      </text>
    </comment>
    <comment ref="H2" authorId="0" shapeId="0">
      <text>
        <r>
          <rPr>
            <sz val="9"/>
            <color indexed="81"/>
            <rFont val="Tahoma"/>
            <family val="2"/>
            <charset val="204"/>
          </rPr>
          <t>Удельная плотность нефти по воде</t>
        </r>
      </text>
    </comment>
    <comment ref="M2" authorId="0" shapeId="0">
      <text>
        <r>
          <rPr>
            <sz val="9"/>
            <color indexed="81"/>
            <rFont val="Tahoma"/>
            <family val="2"/>
            <charset val="204"/>
          </rPr>
          <t>json задающий параметры ЭЦН. Используйте encode_ESP_pump() для генерации</t>
        </r>
      </text>
    </comment>
    <comment ref="B3" authorId="0" shapeId="0">
      <text>
        <r>
          <rPr>
            <sz val="9"/>
            <color indexed="81"/>
            <rFont val="Tahoma"/>
            <family val="2"/>
            <charset val="204"/>
          </rPr>
          <t xml:space="preserve">Габарит насоса (5 или 5А)   </t>
        </r>
      </text>
    </comment>
    <comment ref="H3" authorId="0" shapeId="0">
      <text>
        <r>
          <rPr>
            <sz val="9"/>
            <color indexed="81"/>
            <rFont val="Tahoma"/>
            <family val="2"/>
            <charset val="204"/>
          </rPr>
          <t>Удельная плотность воды (по воде)</t>
        </r>
      </text>
    </comment>
    <comment ref="M3" authorId="0" shapeId="0">
      <text>
        <r>
          <rPr>
            <sz val="9"/>
            <color indexed="81"/>
            <rFont val="Tahoma"/>
            <family val="2"/>
            <charset val="204"/>
          </rPr>
          <t>Частота вращения вала ЭЦН</t>
        </r>
      </text>
    </comment>
    <comment ref="B4" authorId="0" shapeId="0">
      <text>
        <r>
          <rPr>
            <sz val="9"/>
            <color indexed="81"/>
            <rFont val="Tahoma"/>
            <family val="2"/>
            <charset val="204"/>
          </rPr>
          <t xml:space="preserve">ID (номер) насоса в базе данных. Вычисляется по номинальной подаче. Может быть задан явно, тогда номинальная подача игнорируется. ID и номинальная частота определяют модель насоса. </t>
        </r>
      </text>
    </comment>
    <comment ref="H4" authorId="0" shapeId="0">
      <text>
        <r>
          <rPr>
            <sz val="9"/>
            <color indexed="81"/>
            <rFont val="Tahoma"/>
            <family val="2"/>
            <charset val="204"/>
          </rPr>
          <t>Газосодержание при давлении насыщения, м3/м3</t>
        </r>
      </text>
    </comment>
    <comment ref="M4" authorId="0" shapeId="0">
      <text>
        <r>
          <rPr>
            <sz val="9"/>
            <color indexed="81"/>
            <rFont val="Tahoma"/>
            <family val="2"/>
            <charset val="204"/>
          </rPr>
          <t>Вязкость, кинематическая сСт</t>
        </r>
      </text>
    </comment>
    <comment ref="B5" authorId="0" shapeId="0">
      <text>
        <r>
          <rPr>
            <sz val="9"/>
            <color indexed="81"/>
            <rFont val="Tahoma"/>
            <family val="2"/>
            <charset val="204"/>
          </rPr>
          <t xml:space="preserve">Номинальная частота питающего тока. Обычно 50 Гц. Для зарубежных ЭЦН может быть 60 Гц. Для ПЭД с двумя парами полюсов может быть 100 Гц. </t>
        </r>
      </text>
    </comment>
    <comment ref="H5" authorId="0" shapeId="0">
      <text>
        <r>
          <rPr>
            <sz val="9"/>
            <color indexed="81"/>
            <rFont val="Tahoma"/>
            <family val="2"/>
            <charset val="204"/>
          </rPr>
          <t>Давление насыщения при заданной температуре, атма</t>
        </r>
      </text>
    </comment>
    <comment ref="M5" authorId="0" shapeId="0">
      <text>
        <r>
          <rPr>
            <sz val="9"/>
            <color indexed="81"/>
            <rFont val="Tahoma"/>
            <family val="2"/>
            <charset val="204"/>
          </rPr>
          <t>Рассчитанное значение потребляемой с вала мощности с учетом поправки на вязкость, Вт</t>
        </r>
      </text>
    </comment>
    <comment ref="B6" authorId="0" shapeId="0">
      <text>
        <r>
          <rPr>
            <sz val="9"/>
            <color indexed="81"/>
            <rFont val="Tahoma"/>
            <family val="2"/>
            <charset val="204"/>
          </rPr>
          <t xml:space="preserve">Количество ступеней ЭЦН. Вычисляется по номинальному напору. Может быть задано явно, тогда номинальный напор игнорируется.  </t>
        </r>
      </text>
    </comment>
    <comment ref="H6" authorId="0" shapeId="0">
      <text>
        <r>
          <rPr>
            <sz val="9"/>
            <color indexed="81"/>
            <rFont val="Tahoma"/>
            <family val="2"/>
            <charset val="204"/>
          </rPr>
          <t>Температура пласта, при которой определено давление насыщения, С</t>
        </r>
      </text>
    </comment>
    <comment ref="B7" authorId="0" shapeId="0">
      <text>
        <r>
          <rPr>
            <sz val="9"/>
            <color indexed="81"/>
            <rFont val="Tahoma"/>
            <family val="2"/>
            <charset val="204"/>
          </rPr>
          <t xml:space="preserve">Калибровочный множитель на напор ступени.   </t>
        </r>
      </text>
    </comment>
    <comment ref="H7" authorId="0" shapeId="0">
      <text>
        <r>
          <rPr>
            <sz val="9"/>
            <color indexed="81"/>
            <rFont val="Tahoma"/>
            <family val="2"/>
            <charset val="204"/>
          </rPr>
          <t>Объемный коэффициент нефти при давлении насыщения и пластовой температуре, м3/м3</t>
        </r>
      </text>
    </comment>
    <comment ref="B8" authorId="0" shapeId="0">
      <text>
        <r>
          <rPr>
            <sz val="9"/>
            <color indexed="81"/>
            <rFont val="Tahoma"/>
            <family val="2"/>
            <charset val="204"/>
          </rPr>
          <t xml:space="preserve">Калибровочный множитель на подачу ступени.   </t>
        </r>
      </text>
    </comment>
    <comment ref="H8" authorId="0" shapeId="0">
      <text>
        <r>
          <rPr>
            <sz val="9"/>
            <color indexed="81"/>
            <rFont val="Tahoma"/>
            <family val="2"/>
            <charset val="204"/>
          </rPr>
          <t>Вязкость нефти при давлении насыщения и пластовой температуре, сП</t>
        </r>
      </text>
    </comment>
    <comment ref="B9" authorId="0" shapeId="0">
      <text>
        <r>
          <rPr>
            <sz val="9"/>
            <color indexed="81"/>
            <rFont val="Tahoma"/>
            <family val="2"/>
            <charset val="204"/>
          </rPr>
          <t xml:space="preserve">Калибровочный множитель на мощностную характеристику ступени.   </t>
        </r>
      </text>
    </comment>
    <comment ref="H9" authorId="0" shapeId="0">
      <text>
        <r>
          <rPr>
            <sz val="9"/>
            <color indexed="81"/>
            <rFont val="Tahoma"/>
            <family val="2"/>
            <charset val="204"/>
          </rPr>
          <t>Набор PVT корреляций. 0 - на основе корреляции Стендинга для газосодержания, 1 - на основе корреляции Веларда Маккейна для газосодержания</t>
        </r>
      </text>
    </comment>
    <comment ref="B10" authorId="0" shapeId="0">
      <text>
        <r>
          <rPr>
            <sz val="9"/>
            <color indexed="81"/>
            <rFont val="Tahoma"/>
            <family val="2"/>
            <charset val="204"/>
          </rPr>
          <t xml:space="preserve">Модель корректировки РНХ из за влияния газа. 0 - нет корректировки. 1 - стандратный ЭЦН с пределом по газу 25%. 2 - ЭЦН с газостабилизирующими модулями с пределом по газу 50% 4 - ЭЦН с осевым модулем с пределом по газу 75%, 5 - ЭЦН с пределом 25% на основе стендовых испытаний Горидько К.А. </t>
        </r>
      </text>
    </comment>
    <comment ref="B11" authorId="0" shapeId="0">
      <text>
        <r>
          <rPr>
            <sz val="9"/>
            <color indexed="81"/>
            <rFont val="Tahoma"/>
            <family val="2"/>
            <charset val="204"/>
          </rPr>
          <t xml:space="preserve">Экспериментальная опция. Определяет будет ли корректировка по газу применяться ко всем ступеням ЭЦН одинаково (0), или к каждой ступени индивидуально (1).  </t>
        </r>
      </text>
    </comment>
    <comment ref="H11" authorId="0" shapeId="0">
      <text>
        <r>
          <rPr>
            <sz val="9"/>
            <color indexed="81"/>
            <rFont val="Tahoma"/>
            <family val="2"/>
            <charset val="204"/>
          </rPr>
          <t>Дебит жидкости в стандартных условиях</t>
        </r>
      </text>
    </comment>
    <comment ref="B12" authorId="0" shapeId="0">
      <text>
        <r>
          <rPr>
            <sz val="9"/>
            <color indexed="81"/>
            <rFont val="Tahoma"/>
            <family val="2"/>
            <charset val="204"/>
          </rPr>
          <t xml:space="preserve">Шаг интегрирования перепада давления в ЭЦН. 1 значит интегрирование по отдельным ступеням Целое число более 1 определяет шаг интегрирования. 10 - расчет пакетами по 10 ступеней. Большой шаг ускоряет расчет, но вносит численную ошибку интегрирования </t>
        </r>
      </text>
    </comment>
    <comment ref="H12" authorId="0" shapeId="0">
      <text>
        <r>
          <rPr>
            <sz val="9"/>
            <color indexed="81"/>
            <rFont val="Tahoma"/>
            <family val="2"/>
            <charset val="204"/>
          </rPr>
          <t>Обводненность, %</t>
        </r>
      </text>
    </comment>
    <comment ref="B13" authorId="0" shapeId="0">
      <text>
        <r>
          <rPr>
            <sz val="9"/>
            <color indexed="81"/>
            <rFont val="Tahoma"/>
            <family val="2"/>
            <charset val="204"/>
          </rPr>
          <t>закодированные в json параметры ЭЦН. Могут быть заданы с использованием ID насоса и количества ступеней или на основе номинальной подачи и номинального напора</t>
        </r>
      </text>
    </comment>
    <comment ref="H13" authorId="0" shapeId="0">
      <text>
        <r>
          <rPr>
            <sz val="9"/>
            <color indexed="81"/>
            <rFont val="Tahoma"/>
            <family val="2"/>
            <charset val="204"/>
          </rPr>
          <t>Газовый фактор, м3/м3</t>
        </r>
      </text>
    </comment>
    <comment ref="H14" authorId="0" shapeId="0">
      <text>
        <r>
          <rPr>
            <sz val="9"/>
            <color indexed="81"/>
            <rFont val="Tahoma"/>
            <family val="2"/>
            <charset val="204"/>
          </rPr>
          <t>Дебит свободного газа в потоке ст.м3/сут. Свободный газ в потоке дополняет газ выделившийся из нефти.</t>
        </r>
      </text>
    </comment>
    <comment ref="B16" authorId="0" shapeId="0">
      <text>
        <r>
          <rPr>
            <sz val="9"/>
            <color indexed="81"/>
            <rFont val="Tahoma"/>
            <family val="2"/>
            <charset val="204"/>
          </rPr>
          <t>Давление начала расчета. Если calc_along_flow=1 то давление на приеме, иначе на выкиде</t>
        </r>
      </text>
    </comment>
    <comment ref="B17" authorId="0" shapeId="0">
      <text>
        <r>
          <rPr>
            <sz val="9"/>
            <color indexed="81"/>
            <rFont val="Tahoma"/>
            <family val="2"/>
            <charset val="204"/>
          </rPr>
          <t>Температура на приеме С</t>
        </r>
      </text>
    </comment>
    <comment ref="B18" authorId="0" shapeId="0">
      <text>
        <r>
          <rPr>
            <sz val="9"/>
            <color indexed="81"/>
            <rFont val="Tahoma"/>
            <family val="2"/>
            <charset val="204"/>
          </rPr>
          <t>Температура на выкиде. Если задана то температура по ступеням ЭЦН меняется линейно. Если задано -1 то температура на выкиде рассчитывается</t>
        </r>
      </text>
    </comment>
    <comment ref="B19" authorId="0" shapeId="0">
      <text>
        <r>
          <rPr>
            <sz val="9"/>
            <color indexed="81"/>
            <rFont val="Tahoma"/>
            <family val="2"/>
            <charset val="204"/>
          </rPr>
          <t>json определяющий параметры потока флюидов</t>
        </r>
      </text>
    </comment>
    <comment ref="B20" authorId="0" shapeId="0">
      <text>
        <r>
          <rPr>
            <sz val="9"/>
            <color indexed="81"/>
            <rFont val="Tahoma"/>
            <family val="2"/>
            <charset val="204"/>
          </rPr>
          <t>json задающий параметры ЭЦН. Используйте encode_ESP_pump() для генерации</t>
        </r>
      </text>
    </comment>
    <comment ref="B21" authorId="0" shapeId="0">
      <text>
        <r>
          <rPr>
            <sz val="9"/>
            <color indexed="81"/>
            <rFont val="Tahoma"/>
            <family val="2"/>
            <charset val="204"/>
          </rPr>
          <t>Частота вращения вала ЭЦН</t>
        </r>
      </text>
    </comment>
    <comment ref="B22" authorId="0" shapeId="0">
      <text>
        <r>
          <rPr>
            <sz val="9"/>
            <color indexed="81"/>
            <rFont val="Tahoma"/>
            <family val="2"/>
            <charset val="204"/>
          </rPr>
          <t>Флаг направления расчета. Если 1 то расчет от приема к выкиду. Если 0 то от выкида к приему</t>
        </r>
      </text>
    </comment>
    <comment ref="B23" authorId="0" shapeId="0">
      <text>
        <r>
          <rPr>
            <sz val="9"/>
            <color indexed="81"/>
            <rFont val="Tahoma"/>
            <family val="2"/>
            <charset val="204"/>
          </rPr>
          <t>Параметры расчета и вывода результатов (show_array, show_log, num_value, show_json)</t>
        </r>
      </text>
    </comment>
    <comment ref="B24" authorId="0" shapeId="0">
      <text>
        <r>
          <rPr>
            <sz val="9"/>
            <color indexed="81"/>
            <rFont val="Tahoma"/>
            <family val="2"/>
            <charset val="204"/>
          </rPr>
          <t>Измеренная глубина установки ЭЦН. Удобно использовать для построения графиков из результатов</t>
        </r>
      </text>
    </comment>
    <comment ref="B25" authorId="0" shapeId="0">
      <text>
        <r>
          <rPr>
            <sz val="9"/>
            <color indexed="81"/>
            <rFont val="Tahoma"/>
            <family val="2"/>
            <charset val="204"/>
          </rPr>
          <t>Дебит жидкости, если задан переоределяет параметры потока ст.м3/сут</t>
        </r>
      </text>
    </comment>
    <comment ref="B26" authorId="0" shapeId="0">
      <text>
        <r>
          <rPr>
            <sz val="9"/>
            <color indexed="81"/>
            <rFont val="Tahoma"/>
            <family val="2"/>
            <charset val="204"/>
          </rPr>
          <t>Обводненность, если задана переоределяет параметры потока %</t>
        </r>
      </text>
    </comment>
    <comment ref="E26" authorId="0" shapeId="0">
      <text>
        <r>
          <rPr>
            <sz val="9"/>
            <color indexed="81"/>
            <rFont val="Tahoma"/>
            <family val="2"/>
            <charset val="204"/>
          </rPr>
          <t>Нижняя граница диапазона построения графиков</t>
        </r>
      </text>
    </comment>
    <comment ref="B27" authorId="0" shapeId="0">
      <text>
        <r>
          <rPr>
            <sz val="9"/>
            <color indexed="81"/>
            <rFont val="Tahoma"/>
            <family val="2"/>
            <charset val="204"/>
          </rPr>
          <t>Газовый фактор, если задан переоределяет параметры потока м3/м3</t>
        </r>
      </text>
    </comment>
    <comment ref="E27" authorId="0" shapeId="0">
      <text>
        <r>
          <rPr>
            <sz val="9"/>
            <color indexed="81"/>
            <rFont val="Tahoma"/>
            <family val="2"/>
            <charset val="204"/>
          </rPr>
          <t>Верхняя граница диапазона построения графиков</t>
        </r>
      </text>
    </comment>
    <comment ref="B28" authorId="0" shapeId="0">
      <text>
        <r>
          <rPr>
            <sz val="9"/>
            <color indexed="81"/>
            <rFont val="Tahoma"/>
            <family val="2"/>
            <charset val="204"/>
          </rPr>
          <t>Дебит свободного газа, если задан переоределяет параметры потока ст.м3/сут</t>
        </r>
      </text>
    </comment>
    <comment ref="A29" authorId="0" shapeId="0">
      <text>
        <r>
          <rPr>
            <sz val="9"/>
            <color indexed="81"/>
            <rFont val="Tahoma"/>
            <family val="2"/>
            <charset val="204"/>
          </rPr>
          <t>Дебит жидкости, ст.м3/сут задается для построения графиков</t>
        </r>
      </text>
    </comment>
    <comment ref="B29" authorId="0" shapeId="0">
      <text>
        <r>
          <rPr>
            <sz val="9"/>
            <color indexed="81"/>
            <rFont val="Tahoma"/>
            <family val="2"/>
            <charset val="204"/>
          </rPr>
          <t>Давление на выкиде ЭЦН или на приеме ЭЦН в зависимости от флага calc_along_flow</t>
        </r>
      </text>
    </comment>
    <comment ref="C29" authorId="0" shapeId="0">
      <text>
        <r>
          <rPr>
            <sz val="9"/>
            <color indexed="81"/>
            <rFont val="Tahoma"/>
            <family val="2"/>
            <charset val="204"/>
          </rPr>
          <t>Давление на приеме ЭЦН, атма</t>
        </r>
      </text>
    </comment>
    <comment ref="D29" authorId="0" shapeId="0">
      <text>
        <r>
          <rPr>
            <sz val="9"/>
            <color indexed="81"/>
            <rFont val="Tahoma"/>
            <family val="2"/>
            <charset val="204"/>
          </rPr>
          <t>Температура на приеме ЭЦН, С</t>
        </r>
      </text>
    </comment>
    <comment ref="E29" authorId="0" shapeId="0">
      <text>
        <r>
          <rPr>
            <sz val="9"/>
            <color indexed="81"/>
            <rFont val="Tahoma"/>
            <family val="2"/>
            <charset val="204"/>
          </rPr>
          <t>Давление на выкиде ЭЦН, атма</t>
        </r>
      </text>
    </comment>
    <comment ref="F29" authorId="0" shapeId="0">
      <text>
        <r>
          <rPr>
            <sz val="9"/>
            <color indexed="81"/>
            <rFont val="Tahoma"/>
            <family val="2"/>
            <charset val="204"/>
          </rPr>
          <t>Температура на выкиде ЭЦН, С</t>
        </r>
      </text>
    </comment>
    <comment ref="G29" authorId="0" shapeId="0">
      <text>
        <r>
          <rPr>
            <sz val="9"/>
            <color indexed="81"/>
            <rFont val="Tahoma"/>
            <family val="2"/>
            <charset val="204"/>
          </rPr>
          <t>Расчетный напор ЭЦН, суммируется по ступеням, м</t>
        </r>
      </text>
    </comment>
    <comment ref="H29" authorId="0" shapeId="0">
      <text>
        <r>
          <rPr>
            <sz val="9"/>
            <color indexed="81"/>
            <rFont val="Tahoma"/>
            <family val="2"/>
            <charset val="204"/>
          </rPr>
          <t>Средний КПД ЭЦН, %</t>
        </r>
      </text>
    </comment>
    <comment ref="I29" authorId="0" shapeId="0">
      <text>
        <r>
          <rPr>
            <sz val="9"/>
            <color indexed="81"/>
            <rFont val="Tahoma"/>
            <family val="2"/>
            <charset val="204"/>
          </rPr>
          <t>Полезная гидравлическая мощность развиваемая ЭЦН, Вт</t>
        </r>
      </text>
    </comment>
    <comment ref="J29" authorId="0" shapeId="0">
      <text>
        <r>
          <rPr>
            <sz val="9"/>
            <color indexed="81"/>
            <rFont val="Tahoma"/>
            <family val="2"/>
            <charset val="204"/>
          </rPr>
          <t>Потребляемая механическая мощность с вала для ЭЦН, Вт</t>
        </r>
      </text>
    </comment>
    <comment ref="K29" authorId="0" shapeId="0">
      <text>
        <r>
          <rPr>
            <sz val="9"/>
            <color indexed="81"/>
            <rFont val="Tahoma"/>
            <family val="2"/>
            <charset val="204"/>
          </rPr>
          <t>Оценка поправки на влияние газа</t>
        </r>
      </text>
    </comment>
  </commentList>
</comments>
</file>

<file path=xl/sharedStrings.xml><?xml version="1.0" encoding="utf-8"?>
<sst xmlns="http://schemas.openxmlformats.org/spreadsheetml/2006/main" count="1714" uniqueCount="915">
  <si>
    <t>Excel-проверка расчета ЭЦН по диаграммам Сютера</t>
  </si>
  <si>
    <t>Как пользоваться</t>
  </si>
  <si>
    <t>1. Откройте лист 'Проверка'.</t>
  </si>
  <si>
    <t>2. В ячейке B2 выберите ID ЭЦН из выпадающего списка.</t>
  </si>
  <si>
    <t>3. Проверьте базовые величины Q*, H*, N*, nq и ближайшую группу Сютера.</t>
  </si>
  <si>
    <t>4. В таблице ниже Excel формулами пересчитывает v, theta, Wh/Wm, H_suter, N_suter и КПД.</t>
  </si>
  <si>
    <t>5. Листы Pumps, CatalogData и SuterWide оставлены видимыми, чтобы можно было проверить исходные данные.</t>
  </si>
  <si>
    <t>Принятые ограничения</t>
  </si>
  <si>
    <t>alpha = 1; отрицательная частота вращения в этой проверке не моделируется.</t>
  </si>
  <si>
    <t>Мощность обозначается N, чтобы не путать ее с давлением P.</t>
  </si>
  <si>
    <t>Проверка расчета ЭЦН по диаграммам Сютера</t>
  </si>
  <si>
    <t>ID ЭЦН</t>
  </si>
  <si>
    <t>736</t>
  </si>
  <si>
    <t>Название</t>
  </si>
  <si>
    <t>Ключевые формулы</t>
  </si>
  <si>
    <t>Производитель</t>
  </si>
  <si>
    <t>v = Q / Q*</t>
  </si>
  <si>
    <t>Серия</t>
  </si>
  <si>
    <t>theta = DEGREES(ATAN2(v, alpha))</t>
  </si>
  <si>
    <t>Q*, м3/сут</t>
  </si>
  <si>
    <t>Wh = (H/H*)/(alpha^2+v^2)</t>
  </si>
  <si>
    <t>H*, м</t>
  </si>
  <si>
    <t>H_suter = Wh(theta)*(alpha^2+v^2)*H*</t>
  </si>
  <si>
    <t>N*, кВт</t>
  </si>
  <si>
    <t>N_suter = Wm(theta)*(alpha^2+v^2)*N*</t>
  </si>
  <si>
    <t>freq, Hz</t>
  </si>
  <si>
    <t>eta_signed = rho*g*(Q/86400)*H_suter/(N_suter*1000)</t>
  </si>
  <si>
    <t>n = freq*60, rpm</t>
  </si>
  <si>
    <t>Wh(theta), Wm(theta) интерполируются по ближайшей группе Сютера.</t>
  </si>
  <si>
    <t>nq SI</t>
  </si>
  <si>
    <t>Ближайшая группа Сютера</t>
  </si>
  <si>
    <t>Ns field</t>
  </si>
  <si>
    <t>alpha</t>
  </si>
  <si>
    <t>rho, кг/м3</t>
  </si>
  <si>
    <t>g, м/с2</t>
  </si>
  <si>
    <t>slip_nom_rpm (справочно)</t>
  </si>
  <si>
    <t>n</t>
  </si>
  <si>
    <t>строка данных</t>
  </si>
  <si>
    <t>Q_db, м3/сут</t>
  </si>
  <si>
    <t>H_db, м</t>
  </si>
  <si>
    <t>N_db, кВт</t>
  </si>
  <si>
    <t>eta_db</t>
  </si>
  <si>
    <t>v</t>
  </si>
  <si>
    <t>theta, град</t>
  </si>
  <si>
    <t>Wh_db</t>
  </si>
  <si>
    <t>Wm_db</t>
  </si>
  <si>
    <t>idx theta</t>
  </si>
  <si>
    <t>theta_lo</t>
  </si>
  <si>
    <t>theta_hi</t>
  </si>
  <si>
    <t>Wh_lo</t>
  </si>
  <si>
    <t>Wh_hi</t>
  </si>
  <si>
    <t>Wh_suter</t>
  </si>
  <si>
    <t>Wm_lo</t>
  </si>
  <si>
    <t>Wm_hi</t>
  </si>
  <si>
    <t>Wm_suter</t>
  </si>
  <si>
    <t>H_suter, м</t>
  </si>
  <si>
    <t>Delta H, м</t>
  </si>
  <si>
    <t>N_suter, кВт</t>
  </si>
  <si>
    <t>Delta N, кВт</t>
  </si>
  <si>
    <t>eta_signed</t>
  </si>
  <si>
    <t>eta_abs</t>
  </si>
  <si>
    <t>Delta eta</t>
  </si>
  <si>
    <t>pump_id</t>
  </si>
  <si>
    <t>name</t>
  </si>
  <si>
    <t>manufacturer</t>
  </si>
  <si>
    <t>series</t>
  </si>
  <si>
    <t>Q_star_sm3day</t>
  </si>
  <si>
    <t>H_star_m</t>
  </si>
  <si>
    <t>N_star_kw</t>
  </si>
  <si>
    <t>freq_Hz</t>
  </si>
  <si>
    <t>slip_nom_rpm</t>
  </si>
  <si>
    <t>3360</t>
  </si>
  <si>
    <t>ЭЦН5А-360@50 Hz</t>
  </si>
  <si>
    <t>borets</t>
  </si>
  <si>
    <t>5А</t>
  </si>
  <si>
    <t>1012</t>
  </si>
  <si>
    <t>ЭЦН2А-30Э</t>
  </si>
  <si>
    <t>Generic</t>
  </si>
  <si>
    <t>2А</t>
  </si>
  <si>
    <t>1016</t>
  </si>
  <si>
    <t>ЭЦН2А-50Э</t>
  </si>
  <si>
    <t>871</t>
  </si>
  <si>
    <t>ЭЦН3-90</t>
  </si>
  <si>
    <t>3</t>
  </si>
  <si>
    <t>1002</t>
  </si>
  <si>
    <t>ЭЦН4-20</t>
  </si>
  <si>
    <t>4</t>
  </si>
  <si>
    <t>878</t>
  </si>
  <si>
    <t>ЭЦН4-200</t>
  </si>
  <si>
    <t>ЭЦН4-30</t>
  </si>
  <si>
    <t>1007</t>
  </si>
  <si>
    <t>ЭЦН5-100</t>
  </si>
  <si>
    <t>5</t>
  </si>
  <si>
    <t>737</t>
  </si>
  <si>
    <t>ЭЦН5-125</t>
  </si>
  <si>
    <t>799</t>
  </si>
  <si>
    <t>738</t>
  </si>
  <si>
    <t>ЭЦН5-15</t>
  </si>
  <si>
    <t>1003</t>
  </si>
  <si>
    <t>ЭЦН5-20</t>
  </si>
  <si>
    <t>739</t>
  </si>
  <si>
    <t>ЭЦН5-25</t>
  </si>
  <si>
    <t>740</t>
  </si>
  <si>
    <t>ЭЦН5-30</t>
  </si>
  <si>
    <t>1004</t>
  </si>
  <si>
    <t>ЭЦН5-35</t>
  </si>
  <si>
    <t>741</t>
  </si>
  <si>
    <t>ЭЦН5-44</t>
  </si>
  <si>
    <t>1005</t>
  </si>
  <si>
    <t>ЭЦН5-50</t>
  </si>
  <si>
    <t>742</t>
  </si>
  <si>
    <t>ЭЦН5-500</t>
  </si>
  <si>
    <t>743</t>
  </si>
  <si>
    <t>ЭЦН5-59</t>
  </si>
  <si>
    <t>744</t>
  </si>
  <si>
    <t>ЭЦН5-79</t>
  </si>
  <si>
    <t>1006</t>
  </si>
  <si>
    <t>ЭЦН5-80</t>
  </si>
  <si>
    <t>745</t>
  </si>
  <si>
    <t>ЭЦН5А-100</t>
  </si>
  <si>
    <t>1025</t>
  </si>
  <si>
    <t>ЭЦН5А-100Э</t>
  </si>
  <si>
    <t>746</t>
  </si>
  <si>
    <t>ЭЦН5А-124</t>
  </si>
  <si>
    <t>747</t>
  </si>
  <si>
    <t>ЭЦН5А-159</t>
  </si>
  <si>
    <t>748</t>
  </si>
  <si>
    <t>ЭЦН5А-199</t>
  </si>
  <si>
    <t>749</t>
  </si>
  <si>
    <t>ЭЦН5А-240</t>
  </si>
  <si>
    <t>1008</t>
  </si>
  <si>
    <t>ЭЦН5А-25</t>
  </si>
  <si>
    <t>750</t>
  </si>
  <si>
    <t>ЭЦН5А-280</t>
  </si>
  <si>
    <t>1009</t>
  </si>
  <si>
    <t>ЭЦН5А-34</t>
  </si>
  <si>
    <t>751</t>
  </si>
  <si>
    <t>ЭЦН5А-35</t>
  </si>
  <si>
    <t>752</t>
  </si>
  <si>
    <t>ЭЦН5А-50</t>
  </si>
  <si>
    <t>753</t>
  </si>
  <si>
    <t>ЭЦН5А-500</t>
  </si>
  <si>
    <t>754</t>
  </si>
  <si>
    <t>ЭЦН5А-700</t>
  </si>
  <si>
    <t>755</t>
  </si>
  <si>
    <t>ЭЦН6-1000</t>
  </si>
  <si>
    <t>6</t>
  </si>
  <si>
    <t>767</t>
  </si>
  <si>
    <t>ЭЦН6-1250</t>
  </si>
  <si>
    <t>756</t>
  </si>
  <si>
    <t>ЭЦН6А-130</t>
  </si>
  <si>
    <t>6А</t>
  </si>
  <si>
    <t>757</t>
  </si>
  <si>
    <t>ЭЦН6А-250</t>
  </si>
  <si>
    <t>758</t>
  </si>
  <si>
    <t>ЭЦН7-2000</t>
  </si>
  <si>
    <t>7</t>
  </si>
  <si>
    <t>759</t>
  </si>
  <si>
    <t>ЭЦН8-1000</t>
  </si>
  <si>
    <t>8</t>
  </si>
  <si>
    <t>760</t>
  </si>
  <si>
    <t>ЭЦН8-2000</t>
  </si>
  <si>
    <t>761</t>
  </si>
  <si>
    <t>ЭЦН8-2500</t>
  </si>
  <si>
    <t>879</t>
  </si>
  <si>
    <t>ЭЦН8-3000</t>
  </si>
  <si>
    <t>877</t>
  </si>
  <si>
    <t>ЭЦН8-500</t>
  </si>
  <si>
    <t>2158</t>
  </si>
  <si>
    <t>ЭЦН5-140@50Гц</t>
  </si>
  <si>
    <t>novomet</t>
  </si>
  <si>
    <t>2161</t>
  </si>
  <si>
    <t>ЭЦН5-200@50Гц</t>
  </si>
  <si>
    <t>2166</t>
  </si>
  <si>
    <t>ЭЦН5-320@50Гц</t>
  </si>
  <si>
    <t>2168</t>
  </si>
  <si>
    <t>ЭЦН5-400@50Гц</t>
  </si>
  <si>
    <t>2068</t>
  </si>
  <si>
    <t>ЭЦН5А-100@50Гц</t>
  </si>
  <si>
    <t>2080</t>
  </si>
  <si>
    <t>ЭЦН5А-240@50Гц</t>
  </si>
  <si>
    <t>2191</t>
  </si>
  <si>
    <t>ЭЦН5А-320@50Гц</t>
  </si>
  <si>
    <t>2084</t>
  </si>
  <si>
    <t>ЭЦН5А-400@50Гц</t>
  </si>
  <si>
    <t>2193</t>
  </si>
  <si>
    <t>2086</t>
  </si>
  <si>
    <t>ЭЦН5А-500@50Гц</t>
  </si>
  <si>
    <t>2088</t>
  </si>
  <si>
    <t>ЭЦН5А-700@50Гц</t>
  </si>
  <si>
    <t>2089</t>
  </si>
  <si>
    <t>ЭЦН5А-80@50Гц</t>
  </si>
  <si>
    <t>point_index</t>
  </si>
  <si>
    <t>Q_sm3day</t>
  </si>
  <si>
    <t>H_m</t>
  </si>
  <si>
    <t>N_kw</t>
  </si>
  <si>
    <t>lookup_key</t>
  </si>
  <si>
    <t>3360|1</t>
  </si>
  <si>
    <t>3360|2</t>
  </si>
  <si>
    <t>3360|3</t>
  </si>
  <si>
    <t>3360|4</t>
  </si>
  <si>
    <t>3360|5</t>
  </si>
  <si>
    <t>3360|6</t>
  </si>
  <si>
    <t>3360|7</t>
  </si>
  <si>
    <t>3360|8</t>
  </si>
  <si>
    <t>3360|9</t>
  </si>
  <si>
    <t>3360|10</t>
  </si>
  <si>
    <t>3360|11</t>
  </si>
  <si>
    <t>1012|1</t>
  </si>
  <si>
    <t>1012|2</t>
  </si>
  <si>
    <t>1012|3</t>
  </si>
  <si>
    <t>1012|4</t>
  </si>
  <si>
    <t>1012|5</t>
  </si>
  <si>
    <t>1012|6</t>
  </si>
  <si>
    <t>1012|7</t>
  </si>
  <si>
    <t>1016|1</t>
  </si>
  <si>
    <t>1016|2</t>
  </si>
  <si>
    <t>1016|3</t>
  </si>
  <si>
    <t>1016|4</t>
  </si>
  <si>
    <t>1016|5</t>
  </si>
  <si>
    <t>1016|6</t>
  </si>
  <si>
    <t>1016|7</t>
  </si>
  <si>
    <t>1016|8</t>
  </si>
  <si>
    <t>871|1</t>
  </si>
  <si>
    <t>871|2</t>
  </si>
  <si>
    <t>871|3</t>
  </si>
  <si>
    <t>871|4</t>
  </si>
  <si>
    <t>871|5</t>
  </si>
  <si>
    <t>871|6</t>
  </si>
  <si>
    <t>871|7</t>
  </si>
  <si>
    <t>871|8</t>
  </si>
  <si>
    <t>871|9</t>
  </si>
  <si>
    <t>1002|1</t>
  </si>
  <si>
    <t>1002|2</t>
  </si>
  <si>
    <t>1002|3</t>
  </si>
  <si>
    <t>1002|4</t>
  </si>
  <si>
    <t>1002|5</t>
  </si>
  <si>
    <t>1002|6</t>
  </si>
  <si>
    <t>1002|7</t>
  </si>
  <si>
    <t>878|1</t>
  </si>
  <si>
    <t>878|2</t>
  </si>
  <si>
    <t>878|3</t>
  </si>
  <si>
    <t>878|4</t>
  </si>
  <si>
    <t>878|5</t>
  </si>
  <si>
    <t>878|6</t>
  </si>
  <si>
    <t>878|7</t>
  </si>
  <si>
    <t>878|8</t>
  </si>
  <si>
    <t>736|1</t>
  </si>
  <si>
    <t>736|2</t>
  </si>
  <si>
    <t>736|3</t>
  </si>
  <si>
    <t>736|4</t>
  </si>
  <si>
    <t>736|5</t>
  </si>
  <si>
    <t>736|6</t>
  </si>
  <si>
    <t>736|7</t>
  </si>
  <si>
    <t>736|8</t>
  </si>
  <si>
    <t>736|9</t>
  </si>
  <si>
    <t>736|10</t>
  </si>
  <si>
    <t>736|11</t>
  </si>
  <si>
    <t>736|12</t>
  </si>
  <si>
    <t>736|13</t>
  </si>
  <si>
    <t>736|14</t>
  </si>
  <si>
    <t>1007|1</t>
  </si>
  <si>
    <t>1007|2</t>
  </si>
  <si>
    <t>1007|3</t>
  </si>
  <si>
    <t>1007|4</t>
  </si>
  <si>
    <t>1007|5</t>
  </si>
  <si>
    <t>1007|6</t>
  </si>
  <si>
    <t>1007|7</t>
  </si>
  <si>
    <t>737|1</t>
  </si>
  <si>
    <t>737|2</t>
  </si>
  <si>
    <t>737|3</t>
  </si>
  <si>
    <t>737|4</t>
  </si>
  <si>
    <t>737|5</t>
  </si>
  <si>
    <t>737|6</t>
  </si>
  <si>
    <t>737|7</t>
  </si>
  <si>
    <t>737|8</t>
  </si>
  <si>
    <t>737|9</t>
  </si>
  <si>
    <t>737|10</t>
  </si>
  <si>
    <t>737|11</t>
  </si>
  <si>
    <t>737|12</t>
  </si>
  <si>
    <t>737|13</t>
  </si>
  <si>
    <t>737|14</t>
  </si>
  <si>
    <t>799|1</t>
  </si>
  <si>
    <t>799|2</t>
  </si>
  <si>
    <t>799|3</t>
  </si>
  <si>
    <t>799|4</t>
  </si>
  <si>
    <t>799|5</t>
  </si>
  <si>
    <t>799|6</t>
  </si>
  <si>
    <t>799|7</t>
  </si>
  <si>
    <t>799|8</t>
  </si>
  <si>
    <t>799|9</t>
  </si>
  <si>
    <t>799|10</t>
  </si>
  <si>
    <t>799|11</t>
  </si>
  <si>
    <t>799|12</t>
  </si>
  <si>
    <t>799|13</t>
  </si>
  <si>
    <t>799|14</t>
  </si>
  <si>
    <t>799|15</t>
  </si>
  <si>
    <t>799|16</t>
  </si>
  <si>
    <t>799|17</t>
  </si>
  <si>
    <t>799|18</t>
  </si>
  <si>
    <t>799|19</t>
  </si>
  <si>
    <t>799|20</t>
  </si>
  <si>
    <t>799|21</t>
  </si>
  <si>
    <t>799|22</t>
  </si>
  <si>
    <t>799|23</t>
  </si>
  <si>
    <t>799|24</t>
  </si>
  <si>
    <t>799|25</t>
  </si>
  <si>
    <t>799|26</t>
  </si>
  <si>
    <t>799|27</t>
  </si>
  <si>
    <t>799|28</t>
  </si>
  <si>
    <t>799|29</t>
  </si>
  <si>
    <t>799|30</t>
  </si>
  <si>
    <t>738|1</t>
  </si>
  <si>
    <t>738|2</t>
  </si>
  <si>
    <t>738|3</t>
  </si>
  <si>
    <t>738|4</t>
  </si>
  <si>
    <t>738|5</t>
  </si>
  <si>
    <t>738|6</t>
  </si>
  <si>
    <t>738|7</t>
  </si>
  <si>
    <t>1003|1</t>
  </si>
  <si>
    <t>1003|2</t>
  </si>
  <si>
    <t>1003|3</t>
  </si>
  <si>
    <t>1003|4</t>
  </si>
  <si>
    <t>1003|5</t>
  </si>
  <si>
    <t>1003|6</t>
  </si>
  <si>
    <t>1003|7</t>
  </si>
  <si>
    <t>739|1</t>
  </si>
  <si>
    <t>739|2</t>
  </si>
  <si>
    <t>739|3</t>
  </si>
  <si>
    <t>739|4</t>
  </si>
  <si>
    <t>739|5</t>
  </si>
  <si>
    <t>739|6</t>
  </si>
  <si>
    <t>739|7</t>
  </si>
  <si>
    <t>739|8</t>
  </si>
  <si>
    <t>739|9</t>
  </si>
  <si>
    <t>739|10</t>
  </si>
  <si>
    <t>739|11</t>
  </si>
  <si>
    <t>739|12</t>
  </si>
  <si>
    <t>739|13</t>
  </si>
  <si>
    <t>740|1</t>
  </si>
  <si>
    <t>740|2</t>
  </si>
  <si>
    <t>740|3</t>
  </si>
  <si>
    <t>740|4</t>
  </si>
  <si>
    <t>740|5</t>
  </si>
  <si>
    <t>740|6</t>
  </si>
  <si>
    <t>740|7</t>
  </si>
  <si>
    <t>1004|1</t>
  </si>
  <si>
    <t>1004|2</t>
  </si>
  <si>
    <t>1004|3</t>
  </si>
  <si>
    <t>1004|4</t>
  </si>
  <si>
    <t>1004|5</t>
  </si>
  <si>
    <t>1004|6</t>
  </si>
  <si>
    <t>1004|7</t>
  </si>
  <si>
    <t>741|1</t>
  </si>
  <si>
    <t>741|2</t>
  </si>
  <si>
    <t>741|3</t>
  </si>
  <si>
    <t>741|4</t>
  </si>
  <si>
    <t>741|5</t>
  </si>
  <si>
    <t>741|6</t>
  </si>
  <si>
    <t>741|7</t>
  </si>
  <si>
    <t>1005|1</t>
  </si>
  <si>
    <t>1005|2</t>
  </si>
  <si>
    <t>1005|3</t>
  </si>
  <si>
    <t>1005|4</t>
  </si>
  <si>
    <t>1005|5</t>
  </si>
  <si>
    <t>1005|6</t>
  </si>
  <si>
    <t>1005|7</t>
  </si>
  <si>
    <t>1005|8</t>
  </si>
  <si>
    <t>742|1</t>
  </si>
  <si>
    <t>742|2</t>
  </si>
  <si>
    <t>742|3</t>
  </si>
  <si>
    <t>742|4</t>
  </si>
  <si>
    <t>742|5</t>
  </si>
  <si>
    <t>742|6</t>
  </si>
  <si>
    <t>742|7</t>
  </si>
  <si>
    <t>742|8</t>
  </si>
  <si>
    <t>742|9</t>
  </si>
  <si>
    <t>742|10</t>
  </si>
  <si>
    <t>743|1</t>
  </si>
  <si>
    <t>743|2</t>
  </si>
  <si>
    <t>743|3</t>
  </si>
  <si>
    <t>743|4</t>
  </si>
  <si>
    <t>743|5</t>
  </si>
  <si>
    <t>743|6</t>
  </si>
  <si>
    <t>743|7</t>
  </si>
  <si>
    <t>743|8</t>
  </si>
  <si>
    <t>743|9</t>
  </si>
  <si>
    <t>743|10</t>
  </si>
  <si>
    <t>743|11</t>
  </si>
  <si>
    <t>743|12</t>
  </si>
  <si>
    <t>743|13</t>
  </si>
  <si>
    <t>743|14</t>
  </si>
  <si>
    <t>743|15</t>
  </si>
  <si>
    <t>744|1</t>
  </si>
  <si>
    <t>744|2</t>
  </si>
  <si>
    <t>744|3</t>
  </si>
  <si>
    <t>744|4</t>
  </si>
  <si>
    <t>744|5</t>
  </si>
  <si>
    <t>744|6</t>
  </si>
  <si>
    <t>744|7</t>
  </si>
  <si>
    <t>744|8</t>
  </si>
  <si>
    <t>744|9</t>
  </si>
  <si>
    <t>744|10</t>
  </si>
  <si>
    <t>744|11</t>
  </si>
  <si>
    <t>744|12</t>
  </si>
  <si>
    <t>744|13</t>
  </si>
  <si>
    <t>744|14</t>
  </si>
  <si>
    <t>744|15</t>
  </si>
  <si>
    <t>744|16</t>
  </si>
  <si>
    <t>744|17</t>
  </si>
  <si>
    <t>744|18</t>
  </si>
  <si>
    <t>744|19</t>
  </si>
  <si>
    <t>744|20</t>
  </si>
  <si>
    <t>744|21</t>
  </si>
  <si>
    <t>1006|1</t>
  </si>
  <si>
    <t>1006|2</t>
  </si>
  <si>
    <t>1006|3</t>
  </si>
  <si>
    <t>1006|4</t>
  </si>
  <si>
    <t>1006|5</t>
  </si>
  <si>
    <t>1006|6</t>
  </si>
  <si>
    <t>1006|7</t>
  </si>
  <si>
    <t>745|1</t>
  </si>
  <si>
    <t>745|2</t>
  </si>
  <si>
    <t>745|3</t>
  </si>
  <si>
    <t>745|4</t>
  </si>
  <si>
    <t>745|5</t>
  </si>
  <si>
    <t>745|6</t>
  </si>
  <si>
    <t>745|7</t>
  </si>
  <si>
    <t>745|8</t>
  </si>
  <si>
    <t>745|9</t>
  </si>
  <si>
    <t>745|10</t>
  </si>
  <si>
    <t>745|11</t>
  </si>
  <si>
    <t>1025|1</t>
  </si>
  <si>
    <t>1025|2</t>
  </si>
  <si>
    <t>1025|3</t>
  </si>
  <si>
    <t>1025|4</t>
  </si>
  <si>
    <t>1025|5</t>
  </si>
  <si>
    <t>1025|6</t>
  </si>
  <si>
    <t>1025|7</t>
  </si>
  <si>
    <t>746|1</t>
  </si>
  <si>
    <t>746|2</t>
  </si>
  <si>
    <t>746|3</t>
  </si>
  <si>
    <t>746|4</t>
  </si>
  <si>
    <t>746|5</t>
  </si>
  <si>
    <t>746|6</t>
  </si>
  <si>
    <t>746|7</t>
  </si>
  <si>
    <t>746|8</t>
  </si>
  <si>
    <t>746|9</t>
  </si>
  <si>
    <t>746|10</t>
  </si>
  <si>
    <t>746|11</t>
  </si>
  <si>
    <t>746|12</t>
  </si>
  <si>
    <t>746|13</t>
  </si>
  <si>
    <t>746|14</t>
  </si>
  <si>
    <t>746|15</t>
  </si>
  <si>
    <t>747|1</t>
  </si>
  <si>
    <t>747|2</t>
  </si>
  <si>
    <t>747|3</t>
  </si>
  <si>
    <t>747|4</t>
  </si>
  <si>
    <t>747|5</t>
  </si>
  <si>
    <t>747|6</t>
  </si>
  <si>
    <t>747|7</t>
  </si>
  <si>
    <t>747|8</t>
  </si>
  <si>
    <t>747|9</t>
  </si>
  <si>
    <t>747|10</t>
  </si>
  <si>
    <t>747|11</t>
  </si>
  <si>
    <t>747|12</t>
  </si>
  <si>
    <t>747|13</t>
  </si>
  <si>
    <t>747|14</t>
  </si>
  <si>
    <t>747|15</t>
  </si>
  <si>
    <t>748|1</t>
  </si>
  <si>
    <t>748|2</t>
  </si>
  <si>
    <t>748|3</t>
  </si>
  <si>
    <t>748|4</t>
  </si>
  <si>
    <t>748|5</t>
  </si>
  <si>
    <t>748|6</t>
  </si>
  <si>
    <t>748|7</t>
  </si>
  <si>
    <t>748|8</t>
  </si>
  <si>
    <t>748|9</t>
  </si>
  <si>
    <t>748|10</t>
  </si>
  <si>
    <t>748|11</t>
  </si>
  <si>
    <t>748|12</t>
  </si>
  <si>
    <t>748|13</t>
  </si>
  <si>
    <t>748|14</t>
  </si>
  <si>
    <t>749|1</t>
  </si>
  <si>
    <t>749|2</t>
  </si>
  <si>
    <t>749|3</t>
  </si>
  <si>
    <t>749|4</t>
  </si>
  <si>
    <t>749|5</t>
  </si>
  <si>
    <t>749|6</t>
  </si>
  <si>
    <t>749|7</t>
  </si>
  <si>
    <t>749|8</t>
  </si>
  <si>
    <t>749|9</t>
  </si>
  <si>
    <t>749|10</t>
  </si>
  <si>
    <t>749|11</t>
  </si>
  <si>
    <t>749|12</t>
  </si>
  <si>
    <t>1008|1</t>
  </si>
  <si>
    <t>1008|2</t>
  </si>
  <si>
    <t>1008|3</t>
  </si>
  <si>
    <t>1008|4</t>
  </si>
  <si>
    <t>1008|5</t>
  </si>
  <si>
    <t>1008|6</t>
  </si>
  <si>
    <t>1008|7</t>
  </si>
  <si>
    <t>750|1</t>
  </si>
  <si>
    <t>750|2</t>
  </si>
  <si>
    <t>750|3</t>
  </si>
  <si>
    <t>750|4</t>
  </si>
  <si>
    <t>750|5</t>
  </si>
  <si>
    <t>750|6</t>
  </si>
  <si>
    <t>750|7</t>
  </si>
  <si>
    <t>750|8</t>
  </si>
  <si>
    <t>750|9</t>
  </si>
  <si>
    <t>750|10</t>
  </si>
  <si>
    <t>750|11</t>
  </si>
  <si>
    <t>750|12</t>
  </si>
  <si>
    <t>750|13</t>
  </si>
  <si>
    <t>750|14</t>
  </si>
  <si>
    <t>750|15</t>
  </si>
  <si>
    <t>750|16</t>
  </si>
  <si>
    <t>1009|1</t>
  </si>
  <si>
    <t>1009|2</t>
  </si>
  <si>
    <t>1009|3</t>
  </si>
  <si>
    <t>1009|4</t>
  </si>
  <si>
    <t>1009|5</t>
  </si>
  <si>
    <t>1009|6</t>
  </si>
  <si>
    <t>1009|7</t>
  </si>
  <si>
    <t>1009|8</t>
  </si>
  <si>
    <t>1009|9</t>
  </si>
  <si>
    <t>751|1</t>
  </si>
  <si>
    <t>751|2</t>
  </si>
  <si>
    <t>751|3</t>
  </si>
  <si>
    <t>751|4</t>
  </si>
  <si>
    <t>751|5</t>
  </si>
  <si>
    <t>751|6</t>
  </si>
  <si>
    <t>751|7</t>
  </si>
  <si>
    <t>751|8</t>
  </si>
  <si>
    <t>751|9</t>
  </si>
  <si>
    <t>751|10</t>
  </si>
  <si>
    <t>751|11</t>
  </si>
  <si>
    <t>752|1</t>
  </si>
  <si>
    <t>752|2</t>
  </si>
  <si>
    <t>752|3</t>
  </si>
  <si>
    <t>752|4</t>
  </si>
  <si>
    <t>752|5</t>
  </si>
  <si>
    <t>752|6</t>
  </si>
  <si>
    <t>752|7</t>
  </si>
  <si>
    <t>752|8</t>
  </si>
  <si>
    <t>752|9</t>
  </si>
  <si>
    <t>752|10</t>
  </si>
  <si>
    <t>752|11</t>
  </si>
  <si>
    <t>752|12</t>
  </si>
  <si>
    <t>753|1</t>
  </si>
  <si>
    <t>753|2</t>
  </si>
  <si>
    <t>753|3</t>
  </si>
  <si>
    <t>753|4</t>
  </si>
  <si>
    <t>753|5</t>
  </si>
  <si>
    <t>753|6</t>
  </si>
  <si>
    <t>753|7</t>
  </si>
  <si>
    <t>753|8</t>
  </si>
  <si>
    <t>753|9</t>
  </si>
  <si>
    <t>753|10</t>
  </si>
  <si>
    <t>753|11</t>
  </si>
  <si>
    <t>753|12</t>
  </si>
  <si>
    <t>753|13</t>
  </si>
  <si>
    <t>753|14</t>
  </si>
  <si>
    <t>753|15</t>
  </si>
  <si>
    <t>753|16</t>
  </si>
  <si>
    <t>753|17</t>
  </si>
  <si>
    <t>754|1</t>
  </si>
  <si>
    <t>754|2</t>
  </si>
  <si>
    <t>754|3</t>
  </si>
  <si>
    <t>754|4</t>
  </si>
  <si>
    <t>754|5</t>
  </si>
  <si>
    <t>754|6</t>
  </si>
  <si>
    <t>754|7</t>
  </si>
  <si>
    <t>754|8</t>
  </si>
  <si>
    <t>754|9</t>
  </si>
  <si>
    <t>754|10</t>
  </si>
  <si>
    <t>754|11</t>
  </si>
  <si>
    <t>754|12</t>
  </si>
  <si>
    <t>754|13</t>
  </si>
  <si>
    <t>754|14</t>
  </si>
  <si>
    <t>755|1</t>
  </si>
  <si>
    <t>755|2</t>
  </si>
  <si>
    <t>755|3</t>
  </si>
  <si>
    <t>755|4</t>
  </si>
  <si>
    <t>755|5</t>
  </si>
  <si>
    <t>755|6</t>
  </si>
  <si>
    <t>755|7</t>
  </si>
  <si>
    <t>755|8</t>
  </si>
  <si>
    <t>755|9</t>
  </si>
  <si>
    <t>755|10</t>
  </si>
  <si>
    <t>755|11</t>
  </si>
  <si>
    <t>755|12</t>
  </si>
  <si>
    <t>755|13</t>
  </si>
  <si>
    <t>755|14</t>
  </si>
  <si>
    <t>755|15</t>
  </si>
  <si>
    <t>755|16</t>
  </si>
  <si>
    <t>755|17</t>
  </si>
  <si>
    <t>767|1</t>
  </si>
  <si>
    <t>767|2</t>
  </si>
  <si>
    <t>767|3</t>
  </si>
  <si>
    <t>767|4</t>
  </si>
  <si>
    <t>767|5</t>
  </si>
  <si>
    <t>767|6</t>
  </si>
  <si>
    <t>767|7</t>
  </si>
  <si>
    <t>767|8</t>
  </si>
  <si>
    <t>767|9</t>
  </si>
  <si>
    <t>767|10</t>
  </si>
  <si>
    <t>767|11</t>
  </si>
  <si>
    <t>767|12</t>
  </si>
  <si>
    <t>767|13</t>
  </si>
  <si>
    <t>767|14</t>
  </si>
  <si>
    <t>767|15</t>
  </si>
  <si>
    <t>767|16</t>
  </si>
  <si>
    <t>767|17</t>
  </si>
  <si>
    <t>767|18</t>
  </si>
  <si>
    <t>767|19</t>
  </si>
  <si>
    <t>767|20</t>
  </si>
  <si>
    <t>756|1</t>
  </si>
  <si>
    <t>756|2</t>
  </si>
  <si>
    <t>756|3</t>
  </si>
  <si>
    <t>756|4</t>
  </si>
  <si>
    <t>756|5</t>
  </si>
  <si>
    <t>756|6</t>
  </si>
  <si>
    <t>756|7</t>
  </si>
  <si>
    <t>756|8</t>
  </si>
  <si>
    <t>756|9</t>
  </si>
  <si>
    <t>756|10</t>
  </si>
  <si>
    <t>756|11</t>
  </si>
  <si>
    <t>756|12</t>
  </si>
  <si>
    <t>756|13</t>
  </si>
  <si>
    <t>756|14</t>
  </si>
  <si>
    <t>756|15</t>
  </si>
  <si>
    <t>756|16</t>
  </si>
  <si>
    <t>757|1</t>
  </si>
  <si>
    <t>757|2</t>
  </si>
  <si>
    <t>757|3</t>
  </si>
  <si>
    <t>757|4</t>
  </si>
  <si>
    <t>757|5</t>
  </si>
  <si>
    <t>757|6</t>
  </si>
  <si>
    <t>757|7</t>
  </si>
  <si>
    <t>757|8</t>
  </si>
  <si>
    <t>757|9</t>
  </si>
  <si>
    <t>757|10</t>
  </si>
  <si>
    <t>757|11</t>
  </si>
  <si>
    <t>758|1</t>
  </si>
  <si>
    <t>758|2</t>
  </si>
  <si>
    <t>758|3</t>
  </si>
  <si>
    <t>758|4</t>
  </si>
  <si>
    <t>758|5</t>
  </si>
  <si>
    <t>758|6</t>
  </si>
  <si>
    <t>758|7</t>
  </si>
  <si>
    <t>758|8</t>
  </si>
  <si>
    <t>758|9</t>
  </si>
  <si>
    <t>758|10</t>
  </si>
  <si>
    <t>759|1</t>
  </si>
  <si>
    <t>759|2</t>
  </si>
  <si>
    <t>759|3</t>
  </si>
  <si>
    <t>759|4</t>
  </si>
  <si>
    <t>759|5</t>
  </si>
  <si>
    <t>759|6</t>
  </si>
  <si>
    <t>759|7</t>
  </si>
  <si>
    <t>759|8</t>
  </si>
  <si>
    <t>760|1</t>
  </si>
  <si>
    <t>760|2</t>
  </si>
  <si>
    <t>760|3</t>
  </si>
  <si>
    <t>760|4</t>
  </si>
  <si>
    <t>760|5</t>
  </si>
  <si>
    <t>760|6</t>
  </si>
  <si>
    <t>760|7</t>
  </si>
  <si>
    <t>760|8</t>
  </si>
  <si>
    <t>760|9</t>
  </si>
  <si>
    <t>760|10</t>
  </si>
  <si>
    <t>760|11</t>
  </si>
  <si>
    <t>760|12</t>
  </si>
  <si>
    <t>760|13</t>
  </si>
  <si>
    <t>760|14</t>
  </si>
  <si>
    <t>760|15</t>
  </si>
  <si>
    <t>760|16</t>
  </si>
  <si>
    <t>760|17</t>
  </si>
  <si>
    <t>761|1</t>
  </si>
  <si>
    <t>761|2</t>
  </si>
  <si>
    <t>761|3</t>
  </si>
  <si>
    <t>761|4</t>
  </si>
  <si>
    <t>761|5</t>
  </si>
  <si>
    <t>761|6</t>
  </si>
  <si>
    <t>761|7</t>
  </si>
  <si>
    <t>761|8</t>
  </si>
  <si>
    <t>761|9</t>
  </si>
  <si>
    <t>761|10</t>
  </si>
  <si>
    <t>761|11</t>
  </si>
  <si>
    <t>761|12</t>
  </si>
  <si>
    <t>761|13</t>
  </si>
  <si>
    <t>879|1</t>
  </si>
  <si>
    <t>879|2</t>
  </si>
  <si>
    <t>879|3</t>
  </si>
  <si>
    <t>879|4</t>
  </si>
  <si>
    <t>879|5</t>
  </si>
  <si>
    <t>879|6</t>
  </si>
  <si>
    <t>877|1</t>
  </si>
  <si>
    <t>877|2</t>
  </si>
  <si>
    <t>877|3</t>
  </si>
  <si>
    <t>877|4</t>
  </si>
  <si>
    <t>877|5</t>
  </si>
  <si>
    <t>877|6</t>
  </si>
  <si>
    <t>877|7</t>
  </si>
  <si>
    <t>877|8</t>
  </si>
  <si>
    <t>877|9</t>
  </si>
  <si>
    <t>877|10</t>
  </si>
  <si>
    <t>877|11</t>
  </si>
  <si>
    <t>877|12</t>
  </si>
  <si>
    <t>877|13</t>
  </si>
  <si>
    <t>877|14</t>
  </si>
  <si>
    <t>877|15</t>
  </si>
  <si>
    <t>877|16</t>
  </si>
  <si>
    <t>877|17</t>
  </si>
  <si>
    <t>877|18</t>
  </si>
  <si>
    <t>877|19</t>
  </si>
  <si>
    <t>877|20</t>
  </si>
  <si>
    <t>2158|1</t>
  </si>
  <si>
    <t>2158|2</t>
  </si>
  <si>
    <t>2158|3</t>
  </si>
  <si>
    <t>2158|4</t>
  </si>
  <si>
    <t>2158|5</t>
  </si>
  <si>
    <t>2158|6</t>
  </si>
  <si>
    <t>2158|7</t>
  </si>
  <si>
    <t>2158|8</t>
  </si>
  <si>
    <t>2158|9</t>
  </si>
  <si>
    <t>2158|10</t>
  </si>
  <si>
    <t>2158|11</t>
  </si>
  <si>
    <t>2161|1</t>
  </si>
  <si>
    <t>2161|2</t>
  </si>
  <si>
    <t>2161|3</t>
  </si>
  <si>
    <t>2161|4</t>
  </si>
  <si>
    <t>2161|5</t>
  </si>
  <si>
    <t>2161|6</t>
  </si>
  <si>
    <t>2161|7</t>
  </si>
  <si>
    <t>2161|8</t>
  </si>
  <si>
    <t>2161|9</t>
  </si>
  <si>
    <t>2161|10</t>
  </si>
  <si>
    <t>2161|11</t>
  </si>
  <si>
    <t>2166|1</t>
  </si>
  <si>
    <t>2166|2</t>
  </si>
  <si>
    <t>2166|3</t>
  </si>
  <si>
    <t>2166|4</t>
  </si>
  <si>
    <t>2166|5</t>
  </si>
  <si>
    <t>2166|6</t>
  </si>
  <si>
    <t>2166|7</t>
  </si>
  <si>
    <t>2166|8</t>
  </si>
  <si>
    <t>2166|9</t>
  </si>
  <si>
    <t>2166|10</t>
  </si>
  <si>
    <t>2166|11</t>
  </si>
  <si>
    <t>2168|1</t>
  </si>
  <si>
    <t>2168|2</t>
  </si>
  <si>
    <t>2168|3</t>
  </si>
  <si>
    <t>2168|4</t>
  </si>
  <si>
    <t>2168|5</t>
  </si>
  <si>
    <t>2168|6</t>
  </si>
  <si>
    <t>2168|7</t>
  </si>
  <si>
    <t>2168|8</t>
  </si>
  <si>
    <t>2168|9</t>
  </si>
  <si>
    <t>2168|10</t>
  </si>
  <si>
    <t>2168|11</t>
  </si>
  <si>
    <t>2068|1</t>
  </si>
  <si>
    <t>2068|2</t>
  </si>
  <si>
    <t>2068|3</t>
  </si>
  <si>
    <t>2068|4</t>
  </si>
  <si>
    <t>2068|5</t>
  </si>
  <si>
    <t>2068|6</t>
  </si>
  <si>
    <t>2068|7</t>
  </si>
  <si>
    <t>2068|8</t>
  </si>
  <si>
    <t>2068|9</t>
  </si>
  <si>
    <t>2068|10</t>
  </si>
  <si>
    <t>2068|11</t>
  </si>
  <si>
    <t>2080|1</t>
  </si>
  <si>
    <t>2080|2</t>
  </si>
  <si>
    <t>2080|3</t>
  </si>
  <si>
    <t>2080|4</t>
  </si>
  <si>
    <t>2080|5</t>
  </si>
  <si>
    <t>2080|6</t>
  </si>
  <si>
    <t>2080|7</t>
  </si>
  <si>
    <t>2080|8</t>
  </si>
  <si>
    <t>2080|9</t>
  </si>
  <si>
    <t>2080|10</t>
  </si>
  <si>
    <t>2080|11</t>
  </si>
  <si>
    <t>2191|1</t>
  </si>
  <si>
    <t>2191|2</t>
  </si>
  <si>
    <t>2191|3</t>
  </si>
  <si>
    <t>2191|4</t>
  </si>
  <si>
    <t>2191|5</t>
  </si>
  <si>
    <t>2191|6</t>
  </si>
  <si>
    <t>2191|7</t>
  </si>
  <si>
    <t>2191|8</t>
  </si>
  <si>
    <t>2191|9</t>
  </si>
  <si>
    <t>2191|10</t>
  </si>
  <si>
    <t>2191|11</t>
  </si>
  <si>
    <t>2084|1</t>
  </si>
  <si>
    <t>2084|2</t>
  </si>
  <si>
    <t>2084|3</t>
  </si>
  <si>
    <t>2084|4</t>
  </si>
  <si>
    <t>2084|5</t>
  </si>
  <si>
    <t>2084|6</t>
  </si>
  <si>
    <t>2084|7</t>
  </si>
  <si>
    <t>2084|8</t>
  </si>
  <si>
    <t>2084|9</t>
  </si>
  <si>
    <t>2084|10</t>
  </si>
  <si>
    <t>2084|11</t>
  </si>
  <si>
    <t>2193|1</t>
  </si>
  <si>
    <t>2193|2</t>
  </si>
  <si>
    <t>2193|3</t>
  </si>
  <si>
    <t>2193|4</t>
  </si>
  <si>
    <t>2193|5</t>
  </si>
  <si>
    <t>2193|6</t>
  </si>
  <si>
    <t>2193|7</t>
  </si>
  <si>
    <t>2193|8</t>
  </si>
  <si>
    <t>2193|9</t>
  </si>
  <si>
    <t>2193|10</t>
  </si>
  <si>
    <t>2193|11</t>
  </si>
  <si>
    <t>2086|1</t>
  </si>
  <si>
    <t>2086|2</t>
  </si>
  <si>
    <t>2086|3</t>
  </si>
  <si>
    <t>2086|4</t>
  </si>
  <si>
    <t>2086|5</t>
  </si>
  <si>
    <t>2086|6</t>
  </si>
  <si>
    <t>2086|7</t>
  </si>
  <si>
    <t>2086|8</t>
  </si>
  <si>
    <t>2086|9</t>
  </si>
  <si>
    <t>2086|10</t>
  </si>
  <si>
    <t>2086|11</t>
  </si>
  <si>
    <t>2088|1</t>
  </si>
  <si>
    <t>2088|2</t>
  </si>
  <si>
    <t>2088|3</t>
  </si>
  <si>
    <t>2088|4</t>
  </si>
  <si>
    <t>2088|5</t>
  </si>
  <si>
    <t>2088|6</t>
  </si>
  <si>
    <t>2088|7</t>
  </si>
  <si>
    <t>2088|8</t>
  </si>
  <si>
    <t>2088|9</t>
  </si>
  <si>
    <t>2088|10</t>
  </si>
  <si>
    <t>2088|11</t>
  </si>
  <si>
    <t>2089|1</t>
  </si>
  <si>
    <t>2089|2</t>
  </si>
  <si>
    <t>2089|3</t>
  </si>
  <si>
    <t>2089|4</t>
  </si>
  <si>
    <t>2089|5</t>
  </si>
  <si>
    <t>2089|6</t>
  </si>
  <si>
    <t>2089|7</t>
  </si>
  <si>
    <t>2089|8</t>
  </si>
  <si>
    <t>2089|9</t>
  </si>
  <si>
    <t>2089|10</t>
  </si>
  <si>
    <t>2089|11</t>
  </si>
  <si>
    <t>theta_deg</t>
  </si>
  <si>
    <t>Wh_25</t>
  </si>
  <si>
    <t>Wm_25</t>
  </si>
  <si>
    <t>Wh_147</t>
  </si>
  <si>
    <t>Wm_147</t>
  </si>
  <si>
    <t>Wh_261</t>
  </si>
  <si>
    <t>Wm_261</t>
  </si>
  <si>
    <t>ESP_q_nom</t>
  </si>
  <si>
    <t>ESP_head_nom</t>
  </si>
  <si>
    <t>size</t>
  </si>
  <si>
    <t>5A</t>
  </si>
  <si>
    <t>ESP_ID</t>
  </si>
  <si>
    <t>2A</t>
  </si>
  <si>
    <t>freq_nom</t>
  </si>
  <si>
    <t>num_stages</t>
  </si>
  <si>
    <t>calibr_head</t>
  </si>
  <si>
    <t>calibr_rate</t>
  </si>
  <si>
    <t>calibr_power</t>
  </si>
  <si>
    <t>gas_correct_model</t>
  </si>
  <si>
    <t>6A</t>
  </si>
  <si>
    <t>gas_correct_stage_by_stage</t>
  </si>
  <si>
    <t>dnum_stages_integrate</t>
  </si>
  <si>
    <t>7A</t>
  </si>
  <si>
    <t>encode_esp_pump</t>
  </si>
  <si>
    <t>p_atma</t>
  </si>
  <si>
    <t>t_intake_C</t>
  </si>
  <si>
    <t>t_dis_C</t>
  </si>
  <si>
    <t>feed</t>
  </si>
  <si>
    <t>json_ESP_pump</t>
  </si>
  <si>
    <t>calc_along_flow</t>
  </si>
  <si>
    <t>param</t>
  </si>
  <si>
    <t>{"show_array":1}</t>
  </si>
  <si>
    <t>h_mes_top</t>
  </si>
  <si>
    <t>q_liq_sm3day</t>
  </si>
  <si>
    <t>fw_perc</t>
  </si>
  <si>
    <t>rp_m3m3</t>
  </si>
  <si>
    <t>q_gas_free_sm3day</t>
  </si>
  <si>
    <t xml:space="preserve"> </t>
  </si>
  <si>
    <t>q_min</t>
  </si>
  <si>
    <t>q_max</t>
  </si>
  <si>
    <t>q_list</t>
  </si>
  <si>
    <t>p_dis_atma</t>
  </si>
  <si>
    <t>p_int_atma</t>
  </si>
  <si>
    <t>t_int_C</t>
  </si>
  <si>
    <t>head_m</t>
  </si>
  <si>
    <t>eff_ESP_d, %</t>
  </si>
  <si>
    <t>power_fluid_W</t>
  </si>
  <si>
    <t>power_ESP_W</t>
  </si>
  <si>
    <t>gas_correction</t>
  </si>
  <si>
    <t>log</t>
  </si>
  <si>
    <t>gamma_gas</t>
  </si>
  <si>
    <t>gamma_oil</t>
  </si>
  <si>
    <t>gamma_wat</t>
  </si>
  <si>
    <t>rsb_m3m3</t>
  </si>
  <si>
    <t>pb_atma</t>
  </si>
  <si>
    <t>t_res_C</t>
  </si>
  <si>
    <t>bob_m3m3</t>
  </si>
  <si>
    <t>muob_cP</t>
  </si>
  <si>
    <t>pvt_corr_set</t>
  </si>
  <si>
    <t>PVT</t>
  </si>
  <si>
    <t>qliq_m3day</t>
  </si>
  <si>
    <t>esp_json</t>
  </si>
  <si>
    <t>mu_cSt</t>
  </si>
  <si>
    <t>esp nom power_W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</si>
</sst>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  <font>
      <i/>
      <sz val="11"/>
      <color rgb="FF5F6D73"/>
      <name val="Calibri"/>
      <family val="2"/>
      <charset val="204"/>
    </font>
    <font>
      <sz val="11"/>
      <color rgb="FFDCDCDC"/>
      <name val="Calibri"/>
      <family val="2"/>
      <scheme val="minor"/>
    </font>
    <font>
      <sz val="9"/>
      <color indexed="81"/>
      <name val="Tahom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F7EFE1"/>
      </patternFill>
    </fill>
    <fill>
      <patternFill patternType="solid">
        <fgColor rgb="FFFFFDF8"/>
      </patternFill>
    </fill>
    <fill>
      <patternFill patternType="solid">
        <f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A0FAFA"/>
        <bgColor indexed="64"/>
      </patternFill>
    </fill>
    <fill>
      <patternFill patternType="solid">
        <fgColor rgb="FFDCFAA0"/>
        <bgColor indexed="64"/>
      </patternFill>
    </fill>
    <fill>
      <patternFill patternType="solid">
        <fgColor rgb="FFE1C896"/>
        <bgColor indexed="64"/>
      </patternFill>
    </fill>
  </fills>
  <borders count="2">
    <border>
      <left/>
      <right/>
      <top/>
      <bottom/>
      <diagonal/>
    </border>
    <border>
      <left style="thin">
        <color rgb="FFD8C7AC"/>
      </left>
      <right style="thin">
        <color rgb="FFD8C7AC"/>
      </right>
      <top style="thin">
        <color rgb="FFD8C7AC"/>
      </top>
      <bottom style="thin">
        <color rgb="FFD8C7A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0" fillId="5" borderId="0" xfId="0" applyFill="1"/>
    <xf numFmtId="0" fontId="0" fillId="4" borderId="0" xfId="0" applyFill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5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  <xf numFmtId="0" fontId="0" fillId="9" borderId="0" xfId="0" applyFill="1"/>
    <xf numFmtId="1" fontId="0" fillId="10" borderId="0" xfId="0" applyNumberFormat="1" applyFill="1"/>
    <xf numFmtId="1" fontId="0" fillId="1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10" borderId="0" xfId="0" applyNumberFormat="1" applyFill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p_discharge_atma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3.85</c:v>
                </c:pt>
                <c:pt idx="2">
                  <c:v>6.7</c:v>
                </c:pt>
                <c:pt idx="3">
                  <c:v>9.5500000000000007</c:v>
                </c:pt>
                <c:pt idx="4">
                  <c:v>12.4</c:v>
                </c:pt>
                <c:pt idx="5">
                  <c:v>15.25</c:v>
                </c:pt>
                <c:pt idx="6">
                  <c:v>18.100000000000001</c:v>
                </c:pt>
                <c:pt idx="7">
                  <c:v>20.95</c:v>
                </c:pt>
                <c:pt idx="8">
                  <c:v>23.8</c:v>
                </c:pt>
                <c:pt idx="9">
                  <c:v>26.65</c:v>
                </c:pt>
                <c:pt idx="10">
                  <c:v>29.5</c:v>
                </c:pt>
                <c:pt idx="11">
                  <c:v>32.35</c:v>
                </c:pt>
                <c:pt idx="12">
                  <c:v>35.200000000000003</c:v>
                </c:pt>
                <c:pt idx="13">
                  <c:v>38.049999999999997</c:v>
                </c:pt>
                <c:pt idx="14">
                  <c:v>40.9</c:v>
                </c:pt>
                <c:pt idx="15">
                  <c:v>43.75</c:v>
                </c:pt>
                <c:pt idx="16">
                  <c:v>46.6</c:v>
                </c:pt>
                <c:pt idx="17">
                  <c:v>49.45</c:v>
                </c:pt>
                <c:pt idx="18">
                  <c:v>52.3</c:v>
                </c:pt>
                <c:pt idx="19">
                  <c:v>55.15</c:v>
                </c:pt>
                <c:pt idx="20">
                  <c:v>58</c:v>
                </c:pt>
              </c:numCache>
            </c:numRef>
          </c:xVal>
          <c:yVal>
            <c:numRef>
              <c:f>Unifloc!$E$30:$E$50</c:f>
              <c:numCache>
                <c:formatCode>0</c:formatCode>
                <c:ptCount val="21"/>
                <c:pt idx="0">
                  <c:v>100.85487559510177</c:v>
                </c:pt>
                <c:pt idx="1">
                  <c:v>100.85626698413799</c:v>
                </c:pt>
                <c:pt idx="2">
                  <c:v>100.8530781011422</c:v>
                </c:pt>
                <c:pt idx="3">
                  <c:v>100.84530894611443</c:v>
                </c:pt>
                <c:pt idx="4">
                  <c:v>100.83286060395933</c:v>
                </c:pt>
                <c:pt idx="5">
                  <c:v>100.81579455932352</c:v>
                </c:pt>
                <c:pt idx="6">
                  <c:v>100.79453444079113</c:v>
                </c:pt>
                <c:pt idx="7">
                  <c:v>100.76944766554587</c:v>
                </c:pt>
                <c:pt idx="8">
                  <c:v>100.7407696791106</c:v>
                </c:pt>
                <c:pt idx="9">
                  <c:v>100.70843194047697</c:v>
                </c:pt>
                <c:pt idx="10">
                  <c:v>100.67169014135516</c:v>
                </c:pt>
                <c:pt idx="11">
                  <c:v>100.63156722197249</c:v>
                </c:pt>
                <c:pt idx="12">
                  <c:v>100.58928571186038</c:v>
                </c:pt>
                <c:pt idx="13">
                  <c:v>100.54287682946473</c:v>
                </c:pt>
                <c:pt idx="14">
                  <c:v>100.48956158488109</c:v>
                </c:pt>
                <c:pt idx="15">
                  <c:v>100.42858752387112</c:v>
                </c:pt>
                <c:pt idx="16">
                  <c:v>100.35934876411289</c:v>
                </c:pt>
                <c:pt idx="17">
                  <c:v>100.28214985846587</c:v>
                </c:pt>
                <c:pt idx="18">
                  <c:v>100.19707279738877</c:v>
                </c:pt>
                <c:pt idx="19">
                  <c:v>100.10411758088158</c:v>
                </c:pt>
                <c:pt idx="20">
                  <c:v>100.00328420894428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BE-4CA1-8909-09EA62D427B9}"/>
            </c:ext>
          </c:extLst>
        </c:ser>
        <c:ser>
          <c:idx val="1"/>
          <c:order val="1"/>
          <c:tx>
            <c:v>p_intake_atma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3.85</c:v>
                </c:pt>
                <c:pt idx="2">
                  <c:v>6.7</c:v>
                </c:pt>
                <c:pt idx="3">
                  <c:v>9.5500000000000007</c:v>
                </c:pt>
                <c:pt idx="4">
                  <c:v>12.4</c:v>
                </c:pt>
                <c:pt idx="5">
                  <c:v>15.25</c:v>
                </c:pt>
                <c:pt idx="6">
                  <c:v>18.100000000000001</c:v>
                </c:pt>
                <c:pt idx="7">
                  <c:v>20.95</c:v>
                </c:pt>
                <c:pt idx="8">
                  <c:v>23.8</c:v>
                </c:pt>
                <c:pt idx="9">
                  <c:v>26.65</c:v>
                </c:pt>
                <c:pt idx="10">
                  <c:v>29.5</c:v>
                </c:pt>
                <c:pt idx="11">
                  <c:v>32.35</c:v>
                </c:pt>
                <c:pt idx="12">
                  <c:v>35.200000000000003</c:v>
                </c:pt>
                <c:pt idx="13">
                  <c:v>38.049999999999997</c:v>
                </c:pt>
                <c:pt idx="14">
                  <c:v>40.9</c:v>
                </c:pt>
                <c:pt idx="15">
                  <c:v>43.75</c:v>
                </c:pt>
                <c:pt idx="16">
                  <c:v>46.6</c:v>
                </c:pt>
                <c:pt idx="17">
                  <c:v>49.45</c:v>
                </c:pt>
                <c:pt idx="18">
                  <c:v>52.3</c:v>
                </c:pt>
                <c:pt idx="19">
                  <c:v>55.15</c:v>
                </c:pt>
                <c:pt idx="20">
                  <c:v>58</c:v>
                </c:pt>
              </c:numCache>
            </c:numRef>
          </c:xVal>
          <c:yVal>
            <c:numRef>
              <c:f>Unifloc!$C$30:$C$50</c:f>
              <c:numCache>
                <c:formatCode>0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BE-4CA1-8909-09EA62D42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92976"/>
        <c:axId val="426893392"/>
      </c:scatterChart>
      <c:valAx>
        <c:axId val="42689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93392"/>
        <c:crosses val="autoZero"/>
        <c:crossBetween val="midCat"/>
      </c:valAx>
      <c:valAx>
        <c:axId val="42689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P, atma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9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t_intake_C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3.85</c:v>
                </c:pt>
                <c:pt idx="2">
                  <c:v>6.7</c:v>
                </c:pt>
                <c:pt idx="3">
                  <c:v>9.5500000000000007</c:v>
                </c:pt>
                <c:pt idx="4">
                  <c:v>12.4</c:v>
                </c:pt>
                <c:pt idx="5">
                  <c:v>15.25</c:v>
                </c:pt>
                <c:pt idx="6">
                  <c:v>18.100000000000001</c:v>
                </c:pt>
                <c:pt idx="7">
                  <c:v>20.95</c:v>
                </c:pt>
                <c:pt idx="8">
                  <c:v>23.8</c:v>
                </c:pt>
                <c:pt idx="9">
                  <c:v>26.65</c:v>
                </c:pt>
                <c:pt idx="10">
                  <c:v>29.5</c:v>
                </c:pt>
                <c:pt idx="11">
                  <c:v>32.35</c:v>
                </c:pt>
                <c:pt idx="12">
                  <c:v>35.200000000000003</c:v>
                </c:pt>
                <c:pt idx="13">
                  <c:v>38.049999999999997</c:v>
                </c:pt>
                <c:pt idx="14">
                  <c:v>40.9</c:v>
                </c:pt>
                <c:pt idx="15">
                  <c:v>43.75</c:v>
                </c:pt>
                <c:pt idx="16">
                  <c:v>46.6</c:v>
                </c:pt>
                <c:pt idx="17">
                  <c:v>49.45</c:v>
                </c:pt>
                <c:pt idx="18">
                  <c:v>52.3</c:v>
                </c:pt>
                <c:pt idx="19">
                  <c:v>55.15</c:v>
                </c:pt>
                <c:pt idx="20">
                  <c:v>58</c:v>
                </c:pt>
              </c:numCache>
            </c:numRef>
          </c:xVal>
          <c:yVal>
            <c:numRef>
              <c:f>Unifloc!$D$30:$D$50</c:f>
              <c:numCache>
                <c:formatCode>0</c:formatCode>
                <c:ptCount val="21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A7-4AA7-82A1-8165A8F7DC82}"/>
            </c:ext>
          </c:extLst>
        </c:ser>
        <c:ser>
          <c:idx val="1"/>
          <c:order val="1"/>
          <c:tx>
            <c:v>t_discharge_C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3.85</c:v>
                </c:pt>
                <c:pt idx="2">
                  <c:v>6.7</c:v>
                </c:pt>
                <c:pt idx="3">
                  <c:v>9.5500000000000007</c:v>
                </c:pt>
                <c:pt idx="4">
                  <c:v>12.4</c:v>
                </c:pt>
                <c:pt idx="5">
                  <c:v>15.25</c:v>
                </c:pt>
                <c:pt idx="6">
                  <c:v>18.100000000000001</c:v>
                </c:pt>
                <c:pt idx="7">
                  <c:v>20.95</c:v>
                </c:pt>
                <c:pt idx="8">
                  <c:v>23.8</c:v>
                </c:pt>
                <c:pt idx="9">
                  <c:v>26.65</c:v>
                </c:pt>
                <c:pt idx="10">
                  <c:v>29.5</c:v>
                </c:pt>
                <c:pt idx="11">
                  <c:v>32.35</c:v>
                </c:pt>
                <c:pt idx="12">
                  <c:v>35.200000000000003</c:v>
                </c:pt>
                <c:pt idx="13">
                  <c:v>38.049999999999997</c:v>
                </c:pt>
                <c:pt idx="14">
                  <c:v>40.9</c:v>
                </c:pt>
                <c:pt idx="15">
                  <c:v>43.75</c:v>
                </c:pt>
                <c:pt idx="16">
                  <c:v>46.6</c:v>
                </c:pt>
                <c:pt idx="17">
                  <c:v>49.45</c:v>
                </c:pt>
                <c:pt idx="18">
                  <c:v>52.3</c:v>
                </c:pt>
                <c:pt idx="19">
                  <c:v>55.15</c:v>
                </c:pt>
                <c:pt idx="20">
                  <c:v>58</c:v>
                </c:pt>
              </c:numCache>
            </c:numRef>
          </c:xVal>
          <c:yVal>
            <c:numRef>
              <c:f>Unifloc!$F$30:$F$50</c:f>
              <c:numCache>
                <c:formatCode>0</c:formatCode>
                <c:ptCount val="21"/>
                <c:pt idx="0">
                  <c:v>16.162741418987004</c:v>
                </c:pt>
                <c:pt idx="1">
                  <c:v>15.288941056404704</c:v>
                </c:pt>
                <c:pt idx="2">
                  <c:v>15.159092341137846</c:v>
                </c:pt>
                <c:pt idx="3">
                  <c:v>15.10724366612145</c:v>
                </c:pt>
                <c:pt idx="4">
                  <c:v>15.079801266987731</c:v>
                </c:pt>
                <c:pt idx="5">
                  <c:v>15.063088289795633</c:v>
                </c:pt>
                <c:pt idx="6">
                  <c:v>15.051757408229593</c:v>
                </c:pt>
                <c:pt idx="7">
                  <c:v>15.043504169329889</c:v>
                </c:pt>
                <c:pt idx="8">
                  <c:v>15.037434051729219</c:v>
                </c:pt>
                <c:pt idx="9">
                  <c:v>15.033034548752108</c:v>
                </c:pt>
                <c:pt idx="10">
                  <c:v>15.029818169236096</c:v>
                </c:pt>
                <c:pt idx="11">
                  <c:v>15.027474931918473</c:v>
                </c:pt>
                <c:pt idx="12">
                  <c:v>15.025794715955531</c:v>
                </c:pt>
                <c:pt idx="13">
                  <c:v>15.02466860474048</c:v>
                </c:pt>
                <c:pt idx="14">
                  <c:v>15.024044811084277</c:v>
                </c:pt>
                <c:pt idx="15">
                  <c:v>15.023870557223994</c:v>
                </c:pt>
                <c:pt idx="16">
                  <c:v>15.024107898111943</c:v>
                </c:pt>
                <c:pt idx="17">
                  <c:v>15.024714892245379</c:v>
                </c:pt>
                <c:pt idx="18">
                  <c:v>15.025661153582266</c:v>
                </c:pt>
                <c:pt idx="19">
                  <c:v>15.026923674168179</c:v>
                </c:pt>
                <c:pt idx="20">
                  <c:v>15.028483968301808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A7-4AA7-82A1-8165A8F7D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92144"/>
        <c:axId val="426892976"/>
      </c:scatterChart>
      <c:valAx>
        <c:axId val="42689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92976"/>
        <c:crosses val="autoZero"/>
        <c:crossBetween val="midCat"/>
      </c:valAx>
      <c:valAx>
        <c:axId val="42689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92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efficiency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25.95</c:v>
                </c:pt>
                <c:pt idx="2">
                  <c:v>50.9</c:v>
                </c:pt>
                <c:pt idx="3">
                  <c:v>75.849999999999994</c:v>
                </c:pt>
                <c:pt idx="4">
                  <c:v>100.8</c:v>
                </c:pt>
                <c:pt idx="5">
                  <c:v>125.75</c:v>
                </c:pt>
                <c:pt idx="6">
                  <c:v>150.69999999999999</c:v>
                </c:pt>
                <c:pt idx="7">
                  <c:v>175.65</c:v>
                </c:pt>
                <c:pt idx="8">
                  <c:v>200.6</c:v>
                </c:pt>
                <c:pt idx="9">
                  <c:v>225.55</c:v>
                </c:pt>
                <c:pt idx="10">
                  <c:v>250.5</c:v>
                </c:pt>
                <c:pt idx="11">
                  <c:v>275.45</c:v>
                </c:pt>
                <c:pt idx="12">
                  <c:v>300.39999999999998</c:v>
                </c:pt>
                <c:pt idx="13">
                  <c:v>325.35000000000002</c:v>
                </c:pt>
                <c:pt idx="14">
                  <c:v>350.3</c:v>
                </c:pt>
                <c:pt idx="15">
                  <c:v>375.25</c:v>
                </c:pt>
                <c:pt idx="16">
                  <c:v>400.2</c:v>
                </c:pt>
                <c:pt idx="17">
                  <c:v>425.15</c:v>
                </c:pt>
                <c:pt idx="18">
                  <c:v>450.1</c:v>
                </c:pt>
                <c:pt idx="19">
                  <c:v>475.05</c:v>
                </c:pt>
                <c:pt idx="20">
                  <c:v>500</c:v>
                </c:pt>
              </c:numCache>
            </c:numRef>
          </c:xVal>
          <c:yVal>
            <c:numRef>
              <c:f>Unifloc!$H$30:$H$50</c:f>
              <c:numCache>
                <c:formatCode>0</c:formatCode>
                <c:ptCount val="21"/>
                <c:pt idx="0">
                  <c:v>0.38243653655810189</c:v>
                </c:pt>
                <c:pt idx="1">
                  <c:v>8.7487351185942774</c:v>
                </c:pt>
                <c:pt idx="2">
                  <c:v>15.443320949987699</c:v>
                </c:pt>
                <c:pt idx="3">
                  <c:v>21.155031390900366</c:v>
                </c:pt>
                <c:pt idx="4">
                  <c:v>26.32359236481372</c:v>
                </c:pt>
                <c:pt idx="5">
                  <c:v>30.892988405982901</c:v>
                </c:pt>
                <c:pt idx="6">
                  <c:v>34.895828957550847</c:v>
                </c:pt>
                <c:pt idx="7">
                  <c:v>38.426552306253029</c:v>
                </c:pt>
                <c:pt idx="8">
                  <c:v>41.109615768196633</c:v>
                </c:pt>
                <c:pt idx="9">
                  <c:v>42.994887480161239</c:v>
                </c:pt>
                <c:pt idx="10">
                  <c:v>44.026961608386287</c:v>
                </c:pt>
                <c:pt idx="11">
                  <c:v>43.996645736820788</c:v>
                </c:pt>
                <c:pt idx="12">
                  <c:v>43.068668070973985</c:v>
                </c:pt>
                <c:pt idx="13">
                  <c:v>40.869893128550352</c:v>
                </c:pt>
                <c:pt idx="14">
                  <c:v>37.657316603178472</c:v>
                </c:pt>
                <c:pt idx="15">
                  <c:v>33.325302147755565</c:v>
                </c:pt>
                <c:pt idx="16">
                  <c:v>27.960190608664654</c:v>
                </c:pt>
                <c:pt idx="17">
                  <c:v>21.715355683959558</c:v>
                </c:pt>
                <c:pt idx="18">
                  <c:v>14.931062304636525</c:v>
                </c:pt>
                <c:pt idx="19">
                  <c:v>7.6142258764356594</c:v>
                </c:pt>
                <c:pt idx="20">
                  <c:v>0.22978700392595405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D4-4EB1-A4B1-41346DFBB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131280"/>
        <c:axId val="426892144"/>
      </c:scatterChart>
      <c:valAx>
        <c:axId val="34913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6892144"/>
        <c:crosses val="autoZero"/>
        <c:crossBetween val="midCat"/>
      </c:valAx>
      <c:valAx>
        <c:axId val="42689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913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head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25.95</c:v>
                </c:pt>
                <c:pt idx="2">
                  <c:v>50.9</c:v>
                </c:pt>
                <c:pt idx="3">
                  <c:v>75.849999999999994</c:v>
                </c:pt>
                <c:pt idx="4">
                  <c:v>100.8</c:v>
                </c:pt>
                <c:pt idx="5">
                  <c:v>125.75</c:v>
                </c:pt>
                <c:pt idx="6">
                  <c:v>150.69999999999999</c:v>
                </c:pt>
                <c:pt idx="7">
                  <c:v>175.65</c:v>
                </c:pt>
                <c:pt idx="8">
                  <c:v>200.6</c:v>
                </c:pt>
                <c:pt idx="9">
                  <c:v>225.55</c:v>
                </c:pt>
                <c:pt idx="10">
                  <c:v>250.5</c:v>
                </c:pt>
                <c:pt idx="11">
                  <c:v>275.45</c:v>
                </c:pt>
                <c:pt idx="12">
                  <c:v>300.39999999999998</c:v>
                </c:pt>
                <c:pt idx="13">
                  <c:v>325.35000000000002</c:v>
                </c:pt>
                <c:pt idx="14">
                  <c:v>350.3</c:v>
                </c:pt>
                <c:pt idx="15">
                  <c:v>375.25</c:v>
                </c:pt>
                <c:pt idx="16">
                  <c:v>400.2</c:v>
                </c:pt>
                <c:pt idx="17">
                  <c:v>425.15</c:v>
                </c:pt>
                <c:pt idx="18">
                  <c:v>450.1</c:v>
                </c:pt>
                <c:pt idx="19">
                  <c:v>475.05</c:v>
                </c:pt>
                <c:pt idx="20">
                  <c:v>500</c:v>
                </c:pt>
              </c:numCache>
            </c:numRef>
          </c:xVal>
          <c:yVal>
            <c:numRef>
              <c:f>Unifloc!$G$30:$G$50</c:f>
              <c:numCache>
                <c:formatCode>0.00</c:formatCode>
                <c:ptCount val="21"/>
                <c:pt idx="0">
                  <c:v>8.8162295116661955</c:v>
                </c:pt>
                <c:pt idx="1">
                  <c:v>8.8305787399674216</c:v>
                </c:pt>
                <c:pt idx="2">
                  <c:v>8.7976921719828436</c:v>
                </c:pt>
                <c:pt idx="3">
                  <c:v>8.7175698077124633</c:v>
                </c:pt>
                <c:pt idx="4">
                  <c:v>8.5891915476382668</c:v>
                </c:pt>
                <c:pt idx="5">
                  <c:v>8.413191475548512</c:v>
                </c:pt>
                <c:pt idx="6">
                  <c:v>8.193938422237963</c:v>
                </c:pt>
                <c:pt idx="7">
                  <c:v>7.9352215170682765</c:v>
                </c:pt>
                <c:pt idx="8">
                  <c:v>7.6394688814866685</c:v>
                </c:pt>
                <c:pt idx="9">
                  <c:v>7.3059736602920742</c:v>
                </c:pt>
                <c:pt idx="10">
                  <c:v>6.9270598913349115</c:v>
                </c:pt>
                <c:pt idx="11">
                  <c:v>6.5132770345280919</c:v>
                </c:pt>
                <c:pt idx="12">
                  <c:v>6.0772328903461776</c:v>
                </c:pt>
                <c:pt idx="13">
                  <c:v>5.5986236506810254</c:v>
                </c:pt>
                <c:pt idx="14">
                  <c:v>5.0487899258521987</c:v>
                </c:pt>
                <c:pt idx="15">
                  <c:v>4.4199717455200336</c:v>
                </c:pt>
                <c:pt idx="16">
                  <c:v>3.7059207179445446</c:v>
                </c:pt>
                <c:pt idx="17">
                  <c:v>2.9097776602490923</c:v>
                </c:pt>
                <c:pt idx="18">
                  <c:v>2.032388130203481</c:v>
                </c:pt>
                <c:pt idx="19">
                  <c:v>1.0737521278077014</c:v>
                </c:pt>
                <c:pt idx="20">
                  <c:v>3.386965306176079E-2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09-48F8-8B1D-8375FC15D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542576"/>
        <c:axId val="224541744"/>
      </c:scatterChart>
      <c:valAx>
        <c:axId val="22454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1744"/>
        <c:crosses val="autoZero"/>
        <c:crossBetween val="midCat"/>
      </c:valAx>
      <c:valAx>
        <c:axId val="2245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head, 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power hydraulic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3.85</c:v>
                </c:pt>
                <c:pt idx="2">
                  <c:v>6.7</c:v>
                </c:pt>
                <c:pt idx="3">
                  <c:v>9.5500000000000007</c:v>
                </c:pt>
                <c:pt idx="4">
                  <c:v>12.4</c:v>
                </c:pt>
                <c:pt idx="5">
                  <c:v>15.25</c:v>
                </c:pt>
                <c:pt idx="6">
                  <c:v>18.100000000000001</c:v>
                </c:pt>
                <c:pt idx="7">
                  <c:v>20.95</c:v>
                </c:pt>
                <c:pt idx="8">
                  <c:v>23.8</c:v>
                </c:pt>
                <c:pt idx="9">
                  <c:v>26.65</c:v>
                </c:pt>
                <c:pt idx="10">
                  <c:v>29.5</c:v>
                </c:pt>
                <c:pt idx="11">
                  <c:v>32.35</c:v>
                </c:pt>
                <c:pt idx="12">
                  <c:v>35.200000000000003</c:v>
                </c:pt>
                <c:pt idx="13">
                  <c:v>38.049999999999997</c:v>
                </c:pt>
                <c:pt idx="14">
                  <c:v>40.9</c:v>
                </c:pt>
                <c:pt idx="15">
                  <c:v>43.75</c:v>
                </c:pt>
                <c:pt idx="16">
                  <c:v>46.6</c:v>
                </c:pt>
                <c:pt idx="17">
                  <c:v>49.45</c:v>
                </c:pt>
                <c:pt idx="18">
                  <c:v>52.3</c:v>
                </c:pt>
                <c:pt idx="19">
                  <c:v>55.15</c:v>
                </c:pt>
                <c:pt idx="20">
                  <c:v>58</c:v>
                </c:pt>
              </c:numCache>
            </c:numRef>
          </c:xVal>
          <c:yVal>
            <c:numRef>
              <c:f>Unifloc!$I$30:$I$50</c:f>
              <c:numCache>
                <c:formatCode>0</c:formatCode>
                <c:ptCount val="21"/>
                <c:pt idx="0">
                  <c:v>1.0010093924704326</c:v>
                </c:pt>
                <c:pt idx="1">
                  <c:v>3.8601587169034675</c:v>
                </c:pt>
                <c:pt idx="2">
                  <c:v>6.6926610345823656</c:v>
                </c:pt>
                <c:pt idx="3">
                  <c:v>9.4526607201440527</c:v>
                </c:pt>
                <c:pt idx="4">
                  <c:v>12.092865933112378</c:v>
                </c:pt>
                <c:pt idx="5">
                  <c:v>14.567528677323454</c:v>
                </c:pt>
                <c:pt idx="6">
                  <c:v>16.839396992951333</c:v>
                </c:pt>
                <c:pt idx="7">
                  <c:v>18.875494890938818</c:v>
                </c:pt>
                <c:pt idx="8">
                  <c:v>20.644073096200749</c:v>
                </c:pt>
                <c:pt idx="9">
                  <c:v>22.107039153228573</c:v>
                </c:pt>
                <c:pt idx="10">
                  <c:v>23.202042792278551</c:v>
                </c:pt>
                <c:pt idx="11">
                  <c:v>23.92374147427212</c:v>
                </c:pt>
                <c:pt idx="12">
                  <c:v>24.288674118416889</c:v>
                </c:pt>
                <c:pt idx="13">
                  <c:v>24.187512145851063</c:v>
                </c:pt>
                <c:pt idx="14">
                  <c:v>23.445844133793425</c:v>
                </c:pt>
                <c:pt idx="15">
                  <c:v>21.955979439009024</c:v>
                </c:pt>
                <c:pt idx="16">
                  <c:v>19.608180932007834</c:v>
                </c:pt>
                <c:pt idx="17">
                  <c:v>16.337340705860022</c:v>
                </c:pt>
                <c:pt idx="18">
                  <c:v>12.068786472761442</c:v>
                </c:pt>
                <c:pt idx="19">
                  <c:v>6.72364568072586</c:v>
                </c:pt>
                <c:pt idx="20">
                  <c:v>0.22304577776713719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F-4256-A3F4-6212783A1BCC}"/>
            </c:ext>
          </c:extLst>
        </c:ser>
        <c:ser>
          <c:idx val="1"/>
          <c:order val="1"/>
          <c:tx>
            <c:v>power shaft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3.85</c:v>
                </c:pt>
                <c:pt idx="2">
                  <c:v>6.7</c:v>
                </c:pt>
                <c:pt idx="3">
                  <c:v>9.5500000000000007</c:v>
                </c:pt>
                <c:pt idx="4">
                  <c:v>12.4</c:v>
                </c:pt>
                <c:pt idx="5">
                  <c:v>15.25</c:v>
                </c:pt>
                <c:pt idx="6">
                  <c:v>18.100000000000001</c:v>
                </c:pt>
                <c:pt idx="7">
                  <c:v>20.95</c:v>
                </c:pt>
                <c:pt idx="8">
                  <c:v>23.8</c:v>
                </c:pt>
                <c:pt idx="9">
                  <c:v>26.65</c:v>
                </c:pt>
                <c:pt idx="10">
                  <c:v>29.5</c:v>
                </c:pt>
                <c:pt idx="11">
                  <c:v>32.35</c:v>
                </c:pt>
                <c:pt idx="12">
                  <c:v>35.200000000000003</c:v>
                </c:pt>
                <c:pt idx="13">
                  <c:v>38.049999999999997</c:v>
                </c:pt>
                <c:pt idx="14">
                  <c:v>40.9</c:v>
                </c:pt>
                <c:pt idx="15">
                  <c:v>43.75</c:v>
                </c:pt>
                <c:pt idx="16">
                  <c:v>46.6</c:v>
                </c:pt>
                <c:pt idx="17">
                  <c:v>49.45</c:v>
                </c:pt>
                <c:pt idx="18">
                  <c:v>52.3</c:v>
                </c:pt>
                <c:pt idx="19">
                  <c:v>55.15</c:v>
                </c:pt>
                <c:pt idx="20">
                  <c:v>58</c:v>
                </c:pt>
              </c:numCache>
            </c:numRef>
          </c:xVal>
          <c:yVal>
            <c:numRef>
              <c:f>Unifloc!$J$30:$J$50</c:f>
              <c:numCache>
                <c:formatCode>0</c:formatCode>
                <c:ptCount val="21"/>
                <c:pt idx="0">
                  <c:v>57.200177976842213</c:v>
                </c:pt>
                <c:pt idx="1">
                  <c:v>57.627273629545513</c:v>
                </c:pt>
                <c:pt idx="2">
                  <c:v>58.212064173054749</c:v>
                </c:pt>
                <c:pt idx="3">
                  <c:v>58.954549607369927</c:v>
                </c:pt>
                <c:pt idx="4">
                  <c:v>59.920425281093124</c:v>
                </c:pt>
                <c:pt idx="5">
                  <c:v>61.068855614188401</c:v>
                </c:pt>
                <c:pt idx="6">
                  <c:v>62.118502959140258</c:v>
                </c:pt>
                <c:pt idx="7">
                  <c:v>62.92709168489538</c:v>
                </c:pt>
                <c:pt idx="8">
                  <c:v>63.705710602046437</c:v>
                </c:pt>
                <c:pt idx="9">
                  <c:v>64.658290825006517</c:v>
                </c:pt>
                <c:pt idx="10">
                  <c:v>65.71778242807784</c:v>
                </c:pt>
                <c:pt idx="11">
                  <c:v>66.883087106462966</c:v>
                </c:pt>
                <c:pt idx="12">
                  <c:v>68.174084197425458</c:v>
                </c:pt>
                <c:pt idx="13">
                  <c:v>69.555131980654366</c:v>
                </c:pt>
                <c:pt idx="14">
                  <c:v>70.978428178896408</c:v>
                </c:pt>
                <c:pt idx="15">
                  <c:v>72.432261902246722</c:v>
                </c:pt>
                <c:pt idx="16">
                  <c:v>73.907203446138666</c:v>
                </c:pt>
                <c:pt idx="17">
                  <c:v>75.407992746671582</c:v>
                </c:pt>
                <c:pt idx="18">
                  <c:v>76.935905869798916</c:v>
                </c:pt>
                <c:pt idx="19">
                  <c:v>78.490942815520697</c:v>
                </c:pt>
                <c:pt idx="20">
                  <c:v>80.073103583836911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3F-4256-A3F4-6212783A1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540496"/>
        <c:axId val="224542576"/>
      </c:scatterChart>
      <c:valAx>
        <c:axId val="22454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2576"/>
        <c:crosses val="autoZero"/>
        <c:crossBetween val="midCat"/>
      </c:valAx>
      <c:valAx>
        <c:axId val="22454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kW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gas correction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Unifloc!$A$30:$A$50</c:f>
              <c:numCache>
                <c:formatCode>0</c:formatCode>
                <c:ptCount val="21"/>
                <c:pt idx="0">
                  <c:v>1</c:v>
                </c:pt>
                <c:pt idx="1">
                  <c:v>25.95</c:v>
                </c:pt>
                <c:pt idx="2">
                  <c:v>50.9</c:v>
                </c:pt>
                <c:pt idx="3">
                  <c:v>75.849999999999994</c:v>
                </c:pt>
                <c:pt idx="4">
                  <c:v>100.8</c:v>
                </c:pt>
                <c:pt idx="5">
                  <c:v>125.75</c:v>
                </c:pt>
                <c:pt idx="6">
                  <c:v>150.69999999999999</c:v>
                </c:pt>
                <c:pt idx="7">
                  <c:v>175.65</c:v>
                </c:pt>
                <c:pt idx="8">
                  <c:v>200.6</c:v>
                </c:pt>
                <c:pt idx="9">
                  <c:v>225.55</c:v>
                </c:pt>
                <c:pt idx="10">
                  <c:v>250.5</c:v>
                </c:pt>
                <c:pt idx="11">
                  <c:v>275.45</c:v>
                </c:pt>
                <c:pt idx="12">
                  <c:v>300.39999999999998</c:v>
                </c:pt>
                <c:pt idx="13">
                  <c:v>325.35000000000002</c:v>
                </c:pt>
                <c:pt idx="14">
                  <c:v>350.3</c:v>
                </c:pt>
                <c:pt idx="15">
                  <c:v>375.25</c:v>
                </c:pt>
                <c:pt idx="16">
                  <c:v>400.2</c:v>
                </c:pt>
                <c:pt idx="17">
                  <c:v>425.15</c:v>
                </c:pt>
                <c:pt idx="18">
                  <c:v>450.1</c:v>
                </c:pt>
                <c:pt idx="19">
                  <c:v>475.05</c:v>
                </c:pt>
                <c:pt idx="20">
                  <c:v>500</c:v>
                </c:pt>
              </c:numCache>
            </c:numRef>
          </c:xVal>
          <c:yVal>
            <c:numRef>
              <c:f>Unifloc!$K$30:$K$50</c:f>
              <c:numCache>
                <c:formatCode>0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98-4D73-A61C-09786A23F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131280"/>
        <c:axId val="224540496"/>
      </c:scatterChart>
      <c:valAx>
        <c:axId val="34913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0496"/>
        <c:crosses val="autoZero"/>
        <c:crossBetween val="midCat"/>
      </c:valAx>
      <c:valAx>
        <c:axId val="22454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q_liq_sm3day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9131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15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27</xdr:row>
      <xdr:rowOff>0</xdr:rowOff>
    </xdr:from>
    <xdr:to>
      <xdr:col>19</xdr:col>
      <xdr:colOff>0</xdr:colOff>
      <xdr:row>39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19</xdr:col>
      <xdr:colOff>0</xdr:colOff>
      <xdr:row>51</xdr:row>
      <xdr:rowOff>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15</xdr:row>
      <xdr:rowOff>0</xdr:rowOff>
    </xdr:from>
    <xdr:to>
      <xdr:col>26</xdr:col>
      <xdr:colOff>0</xdr:colOff>
      <xdr:row>27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27</xdr:row>
      <xdr:rowOff>0</xdr:rowOff>
    </xdr:from>
    <xdr:to>
      <xdr:col>26</xdr:col>
      <xdr:colOff>0</xdr:colOff>
      <xdr:row>39</xdr:row>
      <xdr:rowOff>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39</xdr:row>
      <xdr:rowOff>0</xdr:rowOff>
    </xdr:from>
    <xdr:to>
      <xdr:col>26</xdr:col>
      <xdr:colOff>0</xdr:colOff>
      <xdr:row>51</xdr:row>
      <xdr:rowOff>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nCode_projects/Project_1/unifloc_vba-master_suter_dev/UniflocVBA_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</sheetNames>
    <definedNames>
      <definedName name="decode_json"/>
      <definedName name="encode_ESP_pump"/>
      <definedName name="encode_feed"/>
      <definedName name="encode_linspace"/>
      <definedName name="encode_PVT"/>
      <definedName name="esp_freq_nom"/>
      <definedName name="ESP_name"/>
      <definedName name="ESP_p_atma"/>
      <definedName name="ESP_power_W"/>
      <definedName name="ESP_rate_max_sm3day"/>
      <definedName name="PVT_rho_oil_kgm3"/>
      <definedName name="PVT_rho_wat_kgm3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13"/>
  <sheetViews>
    <sheetView showGridLines="0" workbookViewId="0">
      <selection activeCell="A15" sqref="A15"/>
    </sheetView>
  </sheetViews>
  <sheetFormatPr defaultRowHeight="14.4" x14ac:dyDescent="0.3"/>
  <cols>
    <col min="1" max="1" width="120" customWidth="1"/>
  </cols>
  <sheetData>
    <row r="1" spans="1:1" ht="21" x14ac:dyDescent="0.4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11" spans="1:1" x14ac:dyDescent="0.3">
      <c r="A11" s="2" t="s">
        <v>7</v>
      </c>
    </row>
    <row r="12" spans="1:1" x14ac:dyDescent="0.3">
      <c r="A12" t="s">
        <v>8</v>
      </c>
    </row>
    <row r="13" spans="1:1" x14ac:dyDescent="0.3">
      <c r="A1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Z61"/>
  <sheetViews>
    <sheetView showGridLines="0" tabSelected="1" workbookViewId="0">
      <pane ySplit="21" topLeftCell="A22" activePane="bottomLeft" state="frozen"/>
      <selection pane="bottomLeft" activeCell="D15" sqref="D15"/>
    </sheetView>
  </sheetViews>
  <sheetFormatPr defaultRowHeight="14.4" x14ac:dyDescent="0.3"/>
  <cols>
    <col min="1" max="1" width="22" customWidth="1"/>
    <col min="2" max="2" width="18" customWidth="1"/>
    <col min="3" max="3" width="14" customWidth="1"/>
    <col min="4" max="4" width="28" customWidth="1"/>
    <col min="5" max="5" width="12" customWidth="1"/>
    <col min="6" max="7" width="10" customWidth="1"/>
    <col min="8" max="8" width="12" customWidth="1"/>
    <col min="9" max="11" width="10" customWidth="1"/>
    <col min="12" max="13" width="11" customWidth="1"/>
    <col min="14" max="15" width="10" customWidth="1"/>
    <col min="16" max="16" width="12" customWidth="1"/>
    <col min="17" max="18" width="10" customWidth="1"/>
    <col min="19" max="19" width="12" customWidth="1"/>
    <col min="20" max="20" width="13" customWidth="1"/>
    <col min="21" max="21" width="12" customWidth="1"/>
    <col min="22" max="22" width="13" customWidth="1"/>
    <col min="23" max="24" width="12" customWidth="1"/>
    <col min="25" max="25" width="10" customWidth="1"/>
    <col min="26" max="26" width="12" customWidth="1"/>
  </cols>
  <sheetData>
    <row r="1" spans="1:4" ht="21" x14ac:dyDescent="0.4">
      <c r="A1" s="1" t="s">
        <v>10</v>
      </c>
    </row>
    <row r="2" spans="1:4" x14ac:dyDescent="0.3">
      <c r="A2" s="3" t="s">
        <v>11</v>
      </c>
      <c r="B2" s="4" t="s">
        <v>132</v>
      </c>
    </row>
    <row r="3" spans="1:4" x14ac:dyDescent="0.3">
      <c r="A3" s="3" t="s">
        <v>13</v>
      </c>
      <c r="B3" s="5" t="str">
        <f>IFERROR(INDEX(Pumps!$B:$B,MATCH($B$2,Pumps!$A:$A,0)),"")</f>
        <v>ЭЦН5А-280</v>
      </c>
      <c r="D3" s="2" t="s">
        <v>14</v>
      </c>
    </row>
    <row r="4" spans="1:4" x14ac:dyDescent="0.3">
      <c r="A4" s="3" t="s">
        <v>15</v>
      </c>
      <c r="B4" s="5" t="str">
        <f>IFERROR(INDEX(Pumps!$C:$C,MATCH($B$2,Pumps!$A:$A,0)),"")</f>
        <v>Generic</v>
      </c>
      <c r="D4" t="s">
        <v>16</v>
      </c>
    </row>
    <row r="5" spans="1:4" x14ac:dyDescent="0.3">
      <c r="A5" s="3" t="s">
        <v>17</v>
      </c>
      <c r="B5" s="5" t="str">
        <f>IFERROR(INDEX(Pumps!$D:$D,MATCH($B$2,Pumps!$A:$A,0)),"")</f>
        <v>5А</v>
      </c>
      <c r="D5" t="s">
        <v>18</v>
      </c>
    </row>
    <row r="6" spans="1:4" x14ac:dyDescent="0.3">
      <c r="A6" s="3" t="s">
        <v>19</v>
      </c>
      <c r="B6" s="5">
        <f>IFERROR(INDEX(Pumps!$E:$E,MATCH($B$2,Pumps!$A:$A,0)),"")</f>
        <v>280</v>
      </c>
      <c r="D6" t="s">
        <v>20</v>
      </c>
    </row>
    <row r="7" spans="1:4" x14ac:dyDescent="0.3">
      <c r="A7" s="3" t="s">
        <v>21</v>
      </c>
      <c r="B7" s="5">
        <f>IFERROR(INDEX(Pumps!$F:$F,MATCH($B$2,Pumps!$A:$A,0)),"")</f>
        <v>5.63</v>
      </c>
      <c r="D7" t="s">
        <v>22</v>
      </c>
    </row>
    <row r="8" spans="1:4" x14ac:dyDescent="0.3">
      <c r="A8" s="3" t="s">
        <v>23</v>
      </c>
      <c r="B8" s="5">
        <f>IFERROR(INDEX(Pumps!$G:$G,MATCH($B$2,Pumps!$A:$A,0)),"")</f>
        <v>0.40799999999999997</v>
      </c>
      <c r="D8" t="s">
        <v>24</v>
      </c>
    </row>
    <row r="9" spans="1:4" x14ac:dyDescent="0.3">
      <c r="A9" s="3" t="s">
        <v>25</v>
      </c>
      <c r="B9" s="5">
        <f>IFERROR(INDEX(Pumps!$H:$H,MATCH($B$2,Pumps!$A:$A,0)),"")</f>
        <v>50</v>
      </c>
      <c r="D9" t="s">
        <v>26</v>
      </c>
    </row>
    <row r="10" spans="1:4" x14ac:dyDescent="0.3">
      <c r="A10" s="3" t="s">
        <v>27</v>
      </c>
      <c r="B10" s="5">
        <f>IFERROR($B$9*60,"")</f>
        <v>3000</v>
      </c>
      <c r="D10" s="6" t="s">
        <v>28</v>
      </c>
    </row>
    <row r="11" spans="1:4" x14ac:dyDescent="0.3">
      <c r="A11" s="3" t="s">
        <v>29</v>
      </c>
      <c r="B11" s="5">
        <f>IFERROR($B$10*SQRT($B$6/86400)/($B$7^0.75),"")</f>
        <v>46.726376393152258</v>
      </c>
    </row>
    <row r="12" spans="1:4" x14ac:dyDescent="0.3">
      <c r="A12" s="3" t="s">
        <v>30</v>
      </c>
      <c r="B12" s="5">
        <f>IF($B$11="","",IF(ABS($B$11-25)&lt;=MIN(ABS($B$11-147),ABS($B$11-261)),25,IF(ABS($B$11-147)&lt;=ABS($B$11-261),147,261)))</f>
        <v>25</v>
      </c>
    </row>
    <row r="13" spans="1:4" x14ac:dyDescent="0.3">
      <c r="A13" s="3" t="s">
        <v>31</v>
      </c>
      <c r="B13" s="5">
        <f>IFERROR($B$10*SQRT($B$6*264.172052/1440)/(($B$7*3.280839895)^0.75),"")</f>
        <v>2413.1948234333663</v>
      </c>
    </row>
    <row r="14" spans="1:4" x14ac:dyDescent="0.3">
      <c r="A14" s="3" t="s">
        <v>32</v>
      </c>
      <c r="B14" s="4">
        <v>1</v>
      </c>
    </row>
    <row r="15" spans="1:4" x14ac:dyDescent="0.3">
      <c r="A15" s="3" t="s">
        <v>33</v>
      </c>
      <c r="B15" s="5">
        <v>1000</v>
      </c>
      <c r="D15" s="22"/>
    </row>
    <row r="16" spans="1:4" x14ac:dyDescent="0.3">
      <c r="A16" s="3" t="s">
        <v>34</v>
      </c>
      <c r="B16" s="5">
        <v>9.8066499999999994</v>
      </c>
    </row>
    <row r="17" spans="1:26" x14ac:dyDescent="0.3">
      <c r="A17" s="3" t="s">
        <v>35</v>
      </c>
      <c r="B17" s="5">
        <f>IFERROR(INDEX(Pumps!$I:$I,MATCH($B$2,Pumps!$A:$A,0)),"")</f>
        <v>2910</v>
      </c>
    </row>
    <row r="21" spans="1:26" x14ac:dyDescent="0.3">
      <c r="A21" s="7" t="s">
        <v>36</v>
      </c>
      <c r="B21" s="7" t="s">
        <v>37</v>
      </c>
      <c r="C21" s="7" t="s">
        <v>38</v>
      </c>
      <c r="D21" s="7" t="s">
        <v>39</v>
      </c>
      <c r="E21" s="7" t="s">
        <v>40</v>
      </c>
      <c r="F21" s="7" t="s">
        <v>41</v>
      </c>
      <c r="G21" s="7" t="s">
        <v>42</v>
      </c>
      <c r="H21" s="7" t="s">
        <v>43</v>
      </c>
      <c r="I21" s="7" t="s">
        <v>44</v>
      </c>
      <c r="J21" s="7" t="s">
        <v>45</v>
      </c>
      <c r="K21" s="7" t="s">
        <v>46</v>
      </c>
      <c r="L21" s="7" t="s">
        <v>47</v>
      </c>
      <c r="M21" s="7" t="s">
        <v>48</v>
      </c>
      <c r="N21" s="7" t="s">
        <v>49</v>
      </c>
      <c r="O21" s="7" t="s">
        <v>50</v>
      </c>
      <c r="P21" s="7" t="s">
        <v>51</v>
      </c>
      <c r="Q21" s="7" t="s">
        <v>52</v>
      </c>
      <c r="R21" s="7" t="s">
        <v>53</v>
      </c>
      <c r="S21" s="7" t="s">
        <v>54</v>
      </c>
      <c r="T21" s="7" t="s">
        <v>55</v>
      </c>
      <c r="U21" s="7" t="s">
        <v>56</v>
      </c>
      <c r="V21" s="7" t="s">
        <v>57</v>
      </c>
      <c r="W21" s="7" t="s">
        <v>58</v>
      </c>
      <c r="X21" s="7" t="s">
        <v>59</v>
      </c>
      <c r="Y21" s="7" t="s">
        <v>60</v>
      </c>
      <c r="Z21" s="7" t="s">
        <v>61</v>
      </c>
    </row>
    <row r="22" spans="1:26" x14ac:dyDescent="0.3">
      <c r="A22" s="8">
        <v>1</v>
      </c>
      <c r="B22" s="8">
        <f>IFERROR(MATCH($B$2&amp;"|"&amp;A22,CatalogData!$G:$G,0),"")</f>
        <v>307</v>
      </c>
      <c r="C22" s="9">
        <f>IF($B22="","",INDEX(CatalogData!$C:$C,$B22))</f>
        <v>0</v>
      </c>
      <c r="D22" s="9">
        <f>IF($B22="","",INDEX(CatalogData!$D:$D,$B22))</f>
        <v>6.75</v>
      </c>
      <c r="E22" s="9">
        <f>IF($B22="","",INDEX(CatalogData!$E:$E,$B22))</f>
        <v>0.19900000000000001</v>
      </c>
      <c r="F22" s="9">
        <f>IF($B22="","",INDEX(CatalogData!$F:$F,$B22))</f>
        <v>0.01</v>
      </c>
      <c r="G22" s="9">
        <f t="shared" ref="G22:G61" si="0">IF($B22="","",IFERROR($C22/$B$6,""))</f>
        <v>0</v>
      </c>
      <c r="H22" s="9">
        <f t="shared" ref="H22:H27" si="1">IF($B22="","",IFERROR(DEGREES(ATAN2($G22,$B$14)),""))</f>
        <v>90</v>
      </c>
      <c r="I22" s="9">
        <f>IF($B22="","",IFERROR(($D22/$B$7)/($B$14^2+$G22^2),""))</f>
        <v>1.1989342806394316</v>
      </c>
      <c r="J22" s="9">
        <f t="shared" ref="J22:J61" si="2">IF($B22="","",IFERROR(($E22/$B$8)/($B$14^2+$G22^2),""))</f>
        <v>0.48774509803921573</v>
      </c>
      <c r="K22" s="8">
        <f>IF($B22="","",IFERROR(MATCH($H22,SuterWide!$A$2:$A$56,1),""))</f>
        <v>19</v>
      </c>
      <c r="L22" s="9">
        <f>IF($K22="","",INDEX(SuterWide!$A$2:$A$56,$K22))</f>
        <v>90</v>
      </c>
      <c r="M22" s="9">
        <f>IF($K22="","",INDEX(SuterWide!$A$2:$A$56,MIN($K22+1,ROWS(SuterWide!$A$2:$A$56))))</f>
        <v>95</v>
      </c>
      <c r="N22" s="9">
        <f>IF($K22="","",IF($B$12=25,INDEX(SuterWide!$B$2:$B$56,$K22),IF($B$12=147,INDEX(SuterWide!$D$2:$D$56,$K22),INDEX(SuterWide!$F$2:$F$56,$K22))))</f>
        <v>1.29</v>
      </c>
      <c r="O22" s="9">
        <f>IF($K22="","",IF($B$12=25,INDEX(SuterWide!$B$2:$B$56,MIN($K22+1,ROWS(SuterWide!$A$2:$A$56))),IF($B$12=147,INDEX(SuterWide!$D$2:$D$56,MIN($K22+1,ROWS(SuterWide!$A$2:$A$56))),INDEX(SuterWide!$F$2:$F$56,MIN($K22+1,ROWS(SuterWide!$A$2:$A$56))))))</f>
        <v>1.2869999999999999</v>
      </c>
      <c r="P22" s="9">
        <f t="shared" ref="P22:P61" si="3">IF($K22="","",IF($M22=$L22,$N22,$N22+($H22-$L22)/($M22-$L22)*($O22-$N22)))</f>
        <v>1.29</v>
      </c>
      <c r="Q22" s="9">
        <f>IF($K22="","",IF($B$12=25,INDEX(SuterWide!$C$2:$C$56,$K22),IF($B$12=147,INDEX(SuterWide!$E$2:$E$56,$K22),INDEX(SuterWide!$G$2:$G$56,$K22))))</f>
        <v>0.44</v>
      </c>
      <c r="R22" s="9">
        <f>IF($K22="","",IF($B$12=25,INDEX(SuterWide!$C$2:$C$56,MIN($K22+1,ROWS(SuterWide!$A$2:$A$56))),IF($B$12=147,INDEX(SuterWide!$E$2:$E$56,MIN($K22+1,ROWS(SuterWide!$A$2:$A$56))),INDEX(SuterWide!$G$2:$G$56,MIN($K22+1,ROWS(SuterWide!$A$2:$A$56))))))</f>
        <v>0.40200000000000002</v>
      </c>
      <c r="S22" s="9">
        <f t="shared" ref="S22:S61" si="4">IF($K22="","",IF($M22=$L22,$Q22,$Q22+($H22-$L22)/($M22-$L22)*($R22-$Q22)))</f>
        <v>0.44</v>
      </c>
      <c r="T22" s="9">
        <f t="shared" ref="T22:T61" si="5">IF($P22="","",$P22*($B$14^2+$G22^2)*$B$7)</f>
        <v>7.2626999999999997</v>
      </c>
      <c r="U22" s="9">
        <f t="shared" ref="U22:U61" si="6">IF($T22="","",$T22-$D22)</f>
        <v>0.51269999999999971</v>
      </c>
      <c r="V22" s="9">
        <f t="shared" ref="V22:V61" si="7">IF($S22="","",$S22*($B$14^2+$G22^2)*$B$8)</f>
        <v>0.17951999999999999</v>
      </c>
      <c r="W22" s="9">
        <f t="shared" ref="W22:W61" si="8">IF($V22="","",$V22-$E22)</f>
        <v>-1.9480000000000025E-2</v>
      </c>
      <c r="X22" s="9">
        <f t="shared" ref="X22:X61" si="9">IF($B22="","",IFERROR(IF(OR($V22="",ABS($V22)&lt;0.000000001),"",$B$15*$B$16*($C22/86400)*$T22/($V22*1000)),""))</f>
        <v>0</v>
      </c>
      <c r="Y22" s="9">
        <f t="shared" ref="Y22:Y61" si="10">IF($B22="","",IFERROR(ABS($X22),""))</f>
        <v>0</v>
      </c>
      <c r="Z22" s="9">
        <f t="shared" ref="Z22:Z61" si="11">IF($B22="","",IFERROR(IF(OR($F22="",$X22=""),"",$X22-$F22),""))</f>
        <v>-0.01</v>
      </c>
    </row>
    <row r="23" spans="1:26" x14ac:dyDescent="0.3">
      <c r="A23" s="8">
        <v>2</v>
      </c>
      <c r="B23" s="8">
        <f>IFERROR(MATCH($B$2&amp;"|"&amp;A23,CatalogData!$G:$G,0),"")</f>
        <v>308</v>
      </c>
      <c r="C23" s="9">
        <f>IF($B23="","",INDEX(CatalogData!$C:$C,$B23))</f>
        <v>40</v>
      </c>
      <c r="D23" s="9">
        <f>IF($B23="","",INDEX(CatalogData!$D:$D,$B23))</f>
        <v>6.4</v>
      </c>
      <c r="E23" s="9">
        <f>IF($B23="","",INDEX(CatalogData!$E:$E,$B23))</f>
        <v>0.22900000000000001</v>
      </c>
      <c r="F23" s="9">
        <f>IF($B23="","",INDEX(CatalogData!$F:$F,$B23))</f>
        <v>0.11</v>
      </c>
      <c r="G23" s="9">
        <f t="shared" si="0"/>
        <v>0.14285714285714285</v>
      </c>
      <c r="H23" s="9">
        <f t="shared" si="1"/>
        <v>81.869897645844034</v>
      </c>
      <c r="I23" s="9">
        <f t="shared" ref="I23:I61" si="12">IF($B23="","",IFERROR(($D23/$B$7)/($B$14^2+$G23^2),""))</f>
        <v>1.1140319715808171</v>
      </c>
      <c r="J23" s="9">
        <f t="shared" si="2"/>
        <v>0.55004901960784314</v>
      </c>
      <c r="K23" s="8">
        <f>IF($B23="","",IFERROR(MATCH($H23,SuterWide!$A$2:$A$56,1),""))</f>
        <v>17</v>
      </c>
      <c r="L23" s="9">
        <f>IF($K23="","",INDEX(SuterWide!$A$2:$A$56,$K23))</f>
        <v>80</v>
      </c>
      <c r="M23" s="9">
        <f>IF($K23="","",INDEX(SuterWide!$A$2:$A$56,MIN($K23+1,ROWS(SuterWide!$A$2:$A$56))))</f>
        <v>85</v>
      </c>
      <c r="N23" s="9">
        <f>IF($K23="","",IF($B$12=25,INDEX(SuterWide!$B$2:$B$56,$K23),IF($B$12=147,INDEX(SuterWide!$D$2:$D$56,$K23),INDEX(SuterWide!$F$2:$F$56,$K23))))</f>
        <v>1.2450000000000001</v>
      </c>
      <c r="O23" s="9">
        <f>IF($K23="","",IF($B$12=25,INDEX(SuterWide!$B$2:$B$56,MIN($K23+1,ROWS(SuterWide!$A$2:$A$56))),IF($B$12=147,INDEX(SuterWide!$D$2:$D$56,MIN($K23+1,ROWS(SuterWide!$A$2:$A$56))),INDEX(SuterWide!$F$2:$F$56,MIN($K23+1,ROWS(SuterWide!$A$2:$A$56))))))</f>
        <v>1.278</v>
      </c>
      <c r="P23" s="9">
        <f>IF($K23="","",IF($M23=$L23,$N23,$N23+($H23-$L23)/($M23-$L23)*($O23-$N23)))</f>
        <v>1.2573413244625706</v>
      </c>
      <c r="Q23" s="9">
        <f>IF($K23="","",IF($B$12=25,INDEX(SuterWide!$C$2:$C$56,$K23),IF($B$12=147,INDEX(SuterWide!$E$2:$E$56,$K23),INDEX(SuterWide!$G$2:$G$56,$K23))))</f>
        <v>0.53</v>
      </c>
      <c r="R23" s="9">
        <f>IF($K23="","",IF($B$12=25,INDEX(SuterWide!$C$2:$C$56,MIN($K23+1,ROWS(SuterWide!$A$2:$A$56))),IF($B$12=147,INDEX(SuterWide!$E$2:$E$56,MIN($K23+1,ROWS(SuterWide!$A$2:$A$56))),INDEX(SuterWide!$G$2:$G$56,MIN($K23+1,ROWS(SuterWide!$A$2:$A$56))))))</f>
        <v>0.47899999999999998</v>
      </c>
      <c r="S23" s="9">
        <f t="shared" si="4"/>
        <v>0.51092704401239086</v>
      </c>
      <c r="T23" s="9">
        <f t="shared" si="5"/>
        <v>7.2232976089023193</v>
      </c>
      <c r="U23" s="9">
        <f t="shared" si="6"/>
        <v>0.82329760890231896</v>
      </c>
      <c r="V23" s="9">
        <f t="shared" si="7"/>
        <v>0.21271248362964842</v>
      </c>
      <c r="W23" s="9">
        <f t="shared" si="8"/>
        <v>-1.6287516370351585E-2</v>
      </c>
      <c r="X23" s="9">
        <f t="shared" si="9"/>
        <v>0.15417340164825838</v>
      </c>
      <c r="Y23" s="9">
        <f t="shared" si="10"/>
        <v>0.15417340164825838</v>
      </c>
      <c r="Z23" s="9">
        <f t="shared" si="11"/>
        <v>4.4173401648258379E-2</v>
      </c>
    </row>
    <row r="24" spans="1:26" x14ac:dyDescent="0.3">
      <c r="A24" s="8">
        <v>3</v>
      </c>
      <c r="B24" s="8">
        <f>IFERROR(MATCH($B$2&amp;"|"&amp;A24,CatalogData!$G:$G,0),"")</f>
        <v>309</v>
      </c>
      <c r="C24" s="9">
        <f>IF($B24="","",INDEX(CatalogData!$C:$C,$B24))</f>
        <v>80</v>
      </c>
      <c r="D24" s="9">
        <f>IF($B24="","",INDEX(CatalogData!$D:$D,$B24))</f>
        <v>6.32</v>
      </c>
      <c r="E24" s="9">
        <f>IF($B24="","",INDEX(CatalogData!$E:$E,$B24))</f>
        <v>0.26</v>
      </c>
      <c r="F24" s="9">
        <f>IF($B24="","",INDEX(CatalogData!$F:$F,$B24))</f>
        <v>0.21</v>
      </c>
      <c r="G24" s="9">
        <f t="shared" si="0"/>
        <v>0.2857142857142857</v>
      </c>
      <c r="H24" s="9">
        <f t="shared" si="1"/>
        <v>74.054604099077153</v>
      </c>
      <c r="I24" s="9">
        <f t="shared" si="12"/>
        <v>1.0378363886189215</v>
      </c>
      <c r="J24" s="9">
        <f t="shared" si="2"/>
        <v>0.58916019237883832</v>
      </c>
      <c r="K24" s="8">
        <f>IF($B24="","",IFERROR(MATCH($H24,SuterWide!$A$2:$A$56,1),""))</f>
        <v>15</v>
      </c>
      <c r="L24" s="9">
        <f>IF($K24="","",INDEX(SuterWide!$A$2:$A$56,$K24))</f>
        <v>70</v>
      </c>
      <c r="M24" s="9">
        <f>IF($K24="","",INDEX(SuterWide!$A$2:$A$56,MIN($K24+1,ROWS(SuterWide!$A$2:$A$56))))</f>
        <v>75</v>
      </c>
      <c r="N24" s="9">
        <f>IF($K24="","",IF($B$12=25,INDEX(SuterWide!$B$2:$B$56,$K24),IF($B$12=147,INDEX(SuterWide!$D$2:$D$56,$K24),INDEX(SuterWide!$F$2:$F$56,$K24))))</f>
        <v>1.115</v>
      </c>
      <c r="O24" s="9">
        <f>IF($K24="","",IF($B$12=25,INDEX(SuterWide!$B$2:$B$56,MIN($K24+1,ROWS(SuterWide!$A$2:$A$56))),IF($B$12=147,INDEX(SuterWide!$D$2:$D$56,MIN($K24+1,ROWS(SuterWide!$A$2:$A$56))),INDEX(SuterWide!$F$2:$F$56,MIN($K24+1,ROWS(SuterWide!$A$2:$A$56))))))</f>
        <v>1.1879999999999999</v>
      </c>
      <c r="P24" s="9">
        <f t="shared" si="3"/>
        <v>1.1741972198465265</v>
      </c>
      <c r="Q24" s="9">
        <f>IF($K24="","",IF($B$12=25,INDEX(SuterWide!$C$2:$C$56,$K24),IF($B$12=147,INDEX(SuterWide!$E$2:$E$56,$K24),INDEX(SuterWide!$G$2:$G$56,$K24))))</f>
        <v>0.6</v>
      </c>
      <c r="R24" s="9">
        <f>IF($K24="","",IF($B$12=25,INDEX(SuterWide!$C$2:$C$56,MIN($K24+1,ROWS(SuterWide!$A$2:$A$56))),IF($B$12=147,INDEX(SuterWide!$E$2:$E$56,MIN($K24+1,ROWS(SuterWide!$A$2:$A$56))),INDEX(SuterWide!$G$2:$G$56,MIN($K24+1,ROWS(SuterWide!$A$2:$A$56))))))</f>
        <v>0.56899999999999995</v>
      </c>
      <c r="S24" s="9">
        <f t="shared" si="4"/>
        <v>0.57486145458572158</v>
      </c>
      <c r="T24" s="9">
        <f t="shared" si="5"/>
        <v>7.1503818046939802</v>
      </c>
      <c r="U24" s="9">
        <f t="shared" si="6"/>
        <v>0.83038180469397993</v>
      </c>
      <c r="V24" s="9">
        <f t="shared" si="7"/>
        <v>0.253689879468605</v>
      </c>
      <c r="W24" s="9">
        <f t="shared" si="8"/>
        <v>-6.3101205313950137E-3</v>
      </c>
      <c r="X24" s="9">
        <f t="shared" si="9"/>
        <v>0.25593106868746651</v>
      </c>
      <c r="Y24" s="9">
        <f t="shared" si="10"/>
        <v>0.25593106868746651</v>
      </c>
      <c r="Z24" s="9">
        <f t="shared" si="11"/>
        <v>4.593106868746652E-2</v>
      </c>
    </row>
    <row r="25" spans="1:26" x14ac:dyDescent="0.3">
      <c r="A25" s="8">
        <v>4</v>
      </c>
      <c r="B25" s="8">
        <f>IFERROR(MATCH($B$2&amp;"|"&amp;A25,CatalogData!$G:$G,0),"")</f>
        <v>310</v>
      </c>
      <c r="C25" s="9">
        <f>IF($B25="","",INDEX(CatalogData!$C:$C,$B25))</f>
        <v>120</v>
      </c>
      <c r="D25" s="9">
        <f>IF($B25="","",INDEX(CatalogData!$D:$D,$B25))</f>
        <v>6.37</v>
      </c>
      <c r="E25" s="9">
        <f>IF($B25="","",INDEX(CatalogData!$E:$E,$B25))</f>
        <v>0.28999999999999998</v>
      </c>
      <c r="F25" s="9">
        <f>IF($B25="","",INDEX(CatalogData!$F:$F,$B25))</f>
        <v>0.3</v>
      </c>
      <c r="G25" s="9">
        <f t="shared" si="0"/>
        <v>0.42857142857142855</v>
      </c>
      <c r="H25" s="9">
        <f t="shared" si="1"/>
        <v>66.801409486351815</v>
      </c>
      <c r="I25" s="9">
        <f t="shared" si="12"/>
        <v>0.95587064371899311</v>
      </c>
      <c r="J25" s="9">
        <f t="shared" si="2"/>
        <v>0.60049019607843146</v>
      </c>
      <c r="K25" s="8">
        <f>IF($B25="","",IFERROR(MATCH($H25,SuterWide!$A$2:$A$56,1),""))</f>
        <v>14</v>
      </c>
      <c r="L25" s="9">
        <f>IF($K25="","",INDEX(SuterWide!$A$2:$A$56,$K25))</f>
        <v>65</v>
      </c>
      <c r="M25" s="9">
        <f>IF($K25="","",INDEX(SuterWide!$A$2:$A$56,MIN($K25+1,ROWS(SuterWide!$A$2:$A$56))))</f>
        <v>70</v>
      </c>
      <c r="N25" s="9">
        <f>IF($K25="","",IF($B$12=25,INDEX(SuterWide!$B$2:$B$56,$K25),IF($B$12=147,INDEX(SuterWide!$D$2:$D$56,$K25),INDEX(SuterWide!$F$2:$F$56,$K25))))</f>
        <v>1.0069999999999999</v>
      </c>
      <c r="O25" s="9">
        <f>IF($K25="","",IF($B$12=25,INDEX(SuterWide!$B$2:$B$56,MIN($K25+1,ROWS(SuterWide!$A$2:$A$56))),IF($B$12=147,INDEX(SuterWide!$D$2:$D$56,MIN($K25+1,ROWS(SuterWide!$A$2:$A$56))),INDEX(SuterWide!$F$2:$F$56,MIN($K25+1,ROWS(SuterWide!$A$2:$A$56))))))</f>
        <v>1.115</v>
      </c>
      <c r="P25" s="9">
        <f t="shared" si="3"/>
        <v>1.0459104449051992</v>
      </c>
      <c r="Q25" s="9">
        <f>IF($K25="","",IF($B$12=25,INDEX(SuterWide!$C$2:$C$56,$K25),IF($B$12=147,INDEX(SuterWide!$E$2:$E$56,$K25),INDEX(SuterWide!$G$2:$G$56,$K25))))</f>
        <v>0.61499999999999999</v>
      </c>
      <c r="R25" s="9">
        <f>IF($K25="","",IF($B$12=25,INDEX(SuterWide!$C$2:$C$56,MIN($K25+1,ROWS(SuterWide!$A$2:$A$56))),IF($B$12=147,INDEX(SuterWide!$E$2:$E$56,MIN($K25+1,ROWS(SuterWide!$A$2:$A$56))),INDEX(SuterWide!$G$2:$G$56,MIN($K25+1,ROWS(SuterWide!$A$2:$A$56))))))</f>
        <v>0.6</v>
      </c>
      <c r="S25" s="9">
        <f t="shared" si="4"/>
        <v>0.60959577154094458</v>
      </c>
      <c r="T25" s="9">
        <f t="shared" si="5"/>
        <v>6.9700325852927296</v>
      </c>
      <c r="U25" s="9">
        <f t="shared" si="6"/>
        <v>0.60003258529272951</v>
      </c>
      <c r="V25" s="9">
        <f t="shared" si="7"/>
        <v>0.29439743546418184</v>
      </c>
      <c r="W25" s="9">
        <f t="shared" si="8"/>
        <v>4.3974354641818647E-3</v>
      </c>
      <c r="X25" s="9">
        <f t="shared" si="9"/>
        <v>0.32246973827134601</v>
      </c>
      <c r="Y25" s="9">
        <f t="shared" si="10"/>
        <v>0.32246973827134601</v>
      </c>
      <c r="Z25" s="9">
        <f t="shared" si="11"/>
        <v>2.2469738271346018E-2</v>
      </c>
    </row>
    <row r="26" spans="1:26" x14ac:dyDescent="0.3">
      <c r="A26" s="8">
        <v>5</v>
      </c>
      <c r="B26" s="8">
        <f>IFERROR(MATCH($B$2&amp;"|"&amp;A26,CatalogData!$G:$G,0),"")</f>
        <v>311</v>
      </c>
      <c r="C26" s="9">
        <f>IF($B26="","",INDEX(CatalogData!$C:$C,$B26))</f>
        <v>160</v>
      </c>
      <c r="D26" s="9">
        <f>IF($B26="","",INDEX(CatalogData!$D:$D,$B26))</f>
        <v>6.42</v>
      </c>
      <c r="E26" s="9">
        <f>IF($B26="","",INDEX(CatalogData!$E:$E,$B26))</f>
        <v>0.32100000000000001</v>
      </c>
      <c r="F26" s="9">
        <f>IF($B26="","",INDEX(CatalogData!$F:$F,$B26))</f>
        <v>0.37</v>
      </c>
      <c r="G26" s="9">
        <f t="shared" si="0"/>
        <v>0.5714285714285714</v>
      </c>
      <c r="H26" s="9">
        <f t="shared" si="1"/>
        <v>60.255118703057782</v>
      </c>
      <c r="I26" s="9">
        <f t="shared" si="12"/>
        <v>0.85962563191692865</v>
      </c>
      <c r="J26" s="9">
        <f t="shared" si="2"/>
        <v>0.59309954751131233</v>
      </c>
      <c r="K26" s="8">
        <f>IF($B26="","",IFERROR(MATCH($H26,SuterWide!$A$2:$A$56,1),""))</f>
        <v>13</v>
      </c>
      <c r="L26" s="9">
        <f>IF($K26="","",INDEX(SuterWide!$A$2:$A$56,$K26))</f>
        <v>60</v>
      </c>
      <c r="M26" s="9">
        <f>IF($K26="","",INDEX(SuterWide!$A$2:$A$56,MIN($K26+1,ROWS(SuterWide!$A$2:$A$56))))</f>
        <v>65</v>
      </c>
      <c r="N26" s="9">
        <f>IF($K26="","",IF($B$12=25,INDEX(SuterWide!$B$2:$B$56,$K26),IF($B$12=147,INDEX(SuterWide!$D$2:$D$56,$K26),INDEX(SuterWide!$F$2:$F$56,$K26))))</f>
        <v>0.9</v>
      </c>
      <c r="O26" s="9">
        <f>IF($K26="","",IF($B$12=25,INDEX(SuterWide!$B$2:$B$56,MIN($K26+1,ROWS(SuterWide!$A$2:$A$56))),IF($B$12=147,INDEX(SuterWide!$D$2:$D$56,MIN($K26+1,ROWS(SuterWide!$A$2:$A$56))),INDEX(SuterWide!$F$2:$F$56,MIN($K26+1,ROWS(SuterWide!$A$2:$A$56))))))</f>
        <v>1.0069999999999999</v>
      </c>
      <c r="P26" s="9">
        <f t="shared" si="3"/>
        <v>0.90545954024543651</v>
      </c>
      <c r="Q26" s="9">
        <f>IF($K26="","",IF($B$12=25,INDEX(SuterWide!$C$2:$C$56,$K26),IF($B$12=147,INDEX(SuterWide!$E$2:$E$56,$K26),INDEX(SuterWide!$G$2:$G$56,$K26))))</f>
        <v>0.61199999999999999</v>
      </c>
      <c r="R26" s="9">
        <f>IF($K26="","",IF($B$12=25,INDEX(SuterWide!$C$2:$C$56,MIN($K26+1,ROWS(SuterWide!$A$2:$A$56))),IF($B$12=147,INDEX(SuterWide!$E$2:$E$56,MIN($K26+1,ROWS(SuterWide!$A$2:$A$56))),INDEX(SuterWide!$G$2:$G$56,MIN($K26+1,ROWS(SuterWide!$A$2:$A$56))))))</f>
        <v>0.61499999999999999</v>
      </c>
      <c r="S26" s="9">
        <f t="shared" si="4"/>
        <v>0.61215307122183471</v>
      </c>
      <c r="T26" s="9">
        <f t="shared" si="5"/>
        <v>6.7623044643432131</v>
      </c>
      <c r="U26" s="9">
        <f t="shared" si="6"/>
        <v>0.34230446434321316</v>
      </c>
      <c r="V26" s="9">
        <f t="shared" si="7"/>
        <v>0.33131223364904194</v>
      </c>
      <c r="W26" s="9">
        <f t="shared" si="8"/>
        <v>1.0312233649041935E-2</v>
      </c>
      <c r="X26" s="9">
        <f t="shared" si="9"/>
        <v>0.37066720542252196</v>
      </c>
      <c r="Y26" s="9">
        <f t="shared" si="10"/>
        <v>0.37066720542252196</v>
      </c>
      <c r="Z26" s="9">
        <f t="shared" si="11"/>
        <v>6.6720542252196591E-4</v>
      </c>
    </row>
    <row r="27" spans="1:26" x14ac:dyDescent="0.3">
      <c r="A27" s="8">
        <v>6</v>
      </c>
      <c r="B27" s="8">
        <f>IFERROR(MATCH($B$2&amp;"|"&amp;A27,CatalogData!$G:$G,0),"")</f>
        <v>312</v>
      </c>
      <c r="C27" s="9">
        <f>IF($B27="","",INDEX(CatalogData!$C:$C,$B27))</f>
        <v>200</v>
      </c>
      <c r="D27" s="9">
        <f>IF($B27="","",INDEX(CatalogData!$D:$D,$B27))</f>
        <v>6.35</v>
      </c>
      <c r="E27" s="9">
        <f>IF($B27="","",INDEX(CatalogData!$E:$E,$B27))</f>
        <v>0.35099999999999998</v>
      </c>
      <c r="F27" s="9">
        <f>IF($B27="","",INDEX(CatalogData!$F:$F,$B27))</f>
        <v>0.41909999999999997</v>
      </c>
      <c r="G27" s="9">
        <f t="shared" si="0"/>
        <v>0.7142857142857143</v>
      </c>
      <c r="H27" s="9">
        <f t="shared" si="1"/>
        <v>54.462322208025618</v>
      </c>
      <c r="I27" s="9">
        <f t="shared" si="12"/>
        <v>0.74684364648840662</v>
      </c>
      <c r="J27" s="9">
        <f t="shared" si="2"/>
        <v>0.56965421303656605</v>
      </c>
      <c r="K27" s="8">
        <f>IF($B27="","",IFERROR(MATCH($H27,SuterWide!$A$2:$A$56,1),""))</f>
        <v>11</v>
      </c>
      <c r="L27" s="9">
        <f>IF($K27="","",INDEX(SuterWide!$A$2:$A$56,$K27))</f>
        <v>50</v>
      </c>
      <c r="M27" s="9">
        <f>IF($K27="","",INDEX(SuterWide!$A$2:$A$56,MIN($K27+1,ROWS(SuterWide!$A$2:$A$56))))</f>
        <v>55</v>
      </c>
      <c r="N27" s="9">
        <f>IF($K27="","",IF($B$12=25,INDEX(SuterWide!$B$2:$B$56,$K27),IF($B$12=147,INDEX(SuterWide!$D$2:$D$56,$K27),INDEX(SuterWide!$F$2:$F$56,$K27))))</f>
        <v>0.65500000000000003</v>
      </c>
      <c r="O27" s="9">
        <f>IF($K27="","",IF($B$12=25,INDEX(SuterWide!$B$2:$B$56,MIN($K27+1,ROWS(SuterWide!$A$2:$A$56))),IF($B$12=147,INDEX(SuterWide!$D$2:$D$56,MIN($K27+1,ROWS(SuterWide!$A$2:$A$56))),INDEX(SuterWide!$F$2:$F$56,MIN($K27+1,ROWS(SuterWide!$A$2:$A$56))))))</f>
        <v>0.77700000000000002</v>
      </c>
      <c r="P27" s="9">
        <f t="shared" si="3"/>
        <v>0.76388066187582515</v>
      </c>
      <c r="Q27" s="9">
        <f>IF($K27="","",IF($B$12=25,INDEX(SuterWide!$C$2:$C$56,$K27),IF($B$12=147,INDEX(SuterWide!$E$2:$E$56,$K27),INDEX(SuterWide!$G$2:$G$56,$K27))))</f>
        <v>0.54800000000000004</v>
      </c>
      <c r="R27" s="9">
        <f>IF($K27="","",IF($B$12=25,INDEX(SuterWide!$C$2:$C$56,MIN($K27+1,ROWS(SuterWide!$A$2:$A$56))),IF($B$12=147,INDEX(SuterWide!$E$2:$E$56,MIN($K27+1,ROWS(SuterWide!$A$2:$A$56))),INDEX(SuterWide!$G$2:$G$56,MIN($K27+1,ROWS(SuterWide!$A$2:$A$56))))))</f>
        <v>0.58799999999999997</v>
      </c>
      <c r="S27" s="9">
        <f t="shared" si="4"/>
        <v>0.58369857766420497</v>
      </c>
      <c r="T27" s="9">
        <f t="shared" si="5"/>
        <v>6.4948563540960453</v>
      </c>
      <c r="U27" s="9">
        <f t="shared" si="6"/>
        <v>0.14485635409604569</v>
      </c>
      <c r="V27" s="9">
        <f t="shared" si="7"/>
        <v>0.35965362156811581</v>
      </c>
      <c r="W27" s="9">
        <f t="shared" si="8"/>
        <v>8.6536215681158324E-3</v>
      </c>
      <c r="X27" s="9">
        <f t="shared" si="9"/>
        <v>0.40994164661145743</v>
      </c>
      <c r="Y27" s="9">
        <f t="shared" si="10"/>
        <v>0.40994164661145743</v>
      </c>
      <c r="Z27" s="9">
        <f t="shared" si="11"/>
        <v>-9.1583533885425394E-3</v>
      </c>
    </row>
    <row r="28" spans="1:26" x14ac:dyDescent="0.3">
      <c r="A28" s="8">
        <v>7</v>
      </c>
      <c r="B28" s="8">
        <f>IFERROR(MATCH($B$2&amp;"|"&amp;A28,CatalogData!$G:$G,0),"")</f>
        <v>313</v>
      </c>
      <c r="C28" s="9">
        <f>IF($B28="","",INDEX(CatalogData!$C:$C,$B28))</f>
        <v>220</v>
      </c>
      <c r="D28" s="9">
        <f>IF($B28="","",INDEX(CatalogData!$D:$D,$B28))</f>
        <v>6.25</v>
      </c>
      <c r="E28" s="9">
        <f>IF($B28="","",INDEX(CatalogData!$E:$E,$B28))</f>
        <v>0.36599999999999999</v>
      </c>
      <c r="F28" s="9">
        <f>IF($B28="","",INDEX(CatalogData!$F:$F,$B28))</f>
        <v>0.435</v>
      </c>
      <c r="G28" s="9">
        <f t="shared" si="0"/>
        <v>0.7857142857142857</v>
      </c>
      <c r="H28" s="9">
        <f t="shared" ref="H28:H61" si="13">IF($B28="","",IFERROR(DEGREES(ATAN2($G28,$B$14)),""))</f>
        <v>51.84277341263094</v>
      </c>
      <c r="I28" s="9">
        <f t="shared" si="12"/>
        <v>0.68638602349961619</v>
      </c>
      <c r="J28" s="9">
        <f t="shared" si="2"/>
        <v>0.55464835776581933</v>
      </c>
      <c r="K28" s="8">
        <f>IF($B28="","",IFERROR(MATCH($H28,SuterWide!$A$2:$A$56,1),""))</f>
        <v>11</v>
      </c>
      <c r="L28" s="9">
        <f>IF($K28="","",INDEX(SuterWide!$A$2:$A$56,$K28))</f>
        <v>50</v>
      </c>
      <c r="M28" s="9">
        <f>IF($K28="","",INDEX(SuterWide!$A$2:$A$56,MIN($K28+1,ROWS(SuterWide!$A$2:$A$56))))</f>
        <v>55</v>
      </c>
      <c r="N28" s="9">
        <f>IF($K28="","",IF($B$12=25,INDEX(SuterWide!$B$2:$B$56,$K28),IF($B$12=147,INDEX(SuterWide!$D$2:$D$56,$K28),INDEX(SuterWide!$F$2:$F$56,$K28))))</f>
        <v>0.65500000000000003</v>
      </c>
      <c r="O28" s="9">
        <f>IF($K28="","",IF($B$12=25,INDEX(SuterWide!$B$2:$B$56,MIN($K28+1,ROWS(SuterWide!$A$2:$A$56))),IF($B$12=147,INDEX(SuterWide!$D$2:$D$56,MIN($K28+1,ROWS(SuterWide!$A$2:$A$56))),INDEX(SuterWide!$F$2:$F$56,MIN($K28+1,ROWS(SuterWide!$A$2:$A$56))))))</f>
        <v>0.77700000000000002</v>
      </c>
      <c r="P28" s="9">
        <f t="shared" si="3"/>
        <v>0.69996367126819492</v>
      </c>
      <c r="Q28" s="9">
        <f>IF($K28="","",IF($B$12=25,INDEX(SuterWide!$C$2:$C$56,$K28),IF($B$12=147,INDEX(SuterWide!$E$2:$E$56,$K28),INDEX(SuterWide!$G$2:$G$56,$K28))))</f>
        <v>0.54800000000000004</v>
      </c>
      <c r="R28" s="9">
        <f>IF($K28="","",IF($B$12=25,INDEX(SuterWide!$C$2:$C$56,MIN($K28+1,ROWS(SuterWide!$A$2:$A$56))),IF($B$12=147,INDEX(SuterWide!$E$2:$E$56,MIN($K28+1,ROWS(SuterWide!$A$2:$A$56))),INDEX(SuterWide!$G$2:$G$56,MIN($K28+1,ROWS(SuterWide!$A$2:$A$56))))))</f>
        <v>0.58799999999999997</v>
      </c>
      <c r="S28" s="9">
        <f t="shared" si="4"/>
        <v>0.56274218730104753</v>
      </c>
      <c r="T28" s="9">
        <f t="shared" si="5"/>
        <v>6.3736334885156118</v>
      </c>
      <c r="U28" s="9">
        <f t="shared" si="6"/>
        <v>0.12363348851561184</v>
      </c>
      <c r="V28" s="9">
        <f t="shared" si="7"/>
        <v>0.37134093641208304</v>
      </c>
      <c r="W28" s="9">
        <f t="shared" si="8"/>
        <v>5.3409364120830527E-3</v>
      </c>
      <c r="X28" s="9">
        <f t="shared" si="9"/>
        <v>0.42859181386200806</v>
      </c>
      <c r="Y28" s="9">
        <f t="shared" si="10"/>
        <v>0.42859181386200806</v>
      </c>
      <c r="Z28" s="9">
        <f t="shared" si="11"/>
        <v>-6.4081861379919336E-3</v>
      </c>
    </row>
    <row r="29" spans="1:26" x14ac:dyDescent="0.3">
      <c r="A29" s="8">
        <v>8</v>
      </c>
      <c r="B29" s="8">
        <f>IFERROR(MATCH($B$2&amp;"|"&amp;A29,CatalogData!$G:$G,0),"")</f>
        <v>314</v>
      </c>
      <c r="C29" s="9">
        <f>IF($B29="","",INDEX(CatalogData!$C:$C,$B29))</f>
        <v>240</v>
      </c>
      <c r="D29" s="9">
        <f>IF($B29="","",INDEX(CatalogData!$D:$D,$B29))</f>
        <v>6.1</v>
      </c>
      <c r="E29" s="9">
        <f>IF($B29="","",INDEX(CatalogData!$E:$E,$B29))</f>
        <v>0.38</v>
      </c>
      <c r="F29" s="9">
        <f>IF($B29="","",INDEX(CatalogData!$F:$F,$B29))</f>
        <v>0.4425</v>
      </c>
      <c r="G29" s="9">
        <f t="shared" si="0"/>
        <v>0.8571428571428571</v>
      </c>
      <c r="H29" s="9">
        <f t="shared" si="13"/>
        <v>49.398705354995535</v>
      </c>
      <c r="I29" s="9">
        <f t="shared" si="12"/>
        <v>0.62459513112527421</v>
      </c>
      <c r="J29" s="9">
        <f t="shared" si="2"/>
        <v>0.53690888119953872</v>
      </c>
      <c r="K29" s="8">
        <f>IF($B29="","",IFERROR(MATCH($H29,SuterWide!$A$2:$A$56,1),""))</f>
        <v>10</v>
      </c>
      <c r="L29" s="9">
        <f>IF($K29="","",INDEX(SuterWide!$A$2:$A$56,$K29))</f>
        <v>45</v>
      </c>
      <c r="M29" s="9">
        <f>IF($K29="","",INDEX(SuterWide!$A$2:$A$56,MIN($K29+1,ROWS(SuterWide!$A$2:$A$56))))</f>
        <v>50</v>
      </c>
      <c r="N29" s="9">
        <f>IF($K29="","",IF($B$12=25,INDEX(SuterWide!$B$2:$B$56,$K29),IF($B$12=147,INDEX(SuterWide!$D$2:$D$56,$K29),INDEX(SuterWide!$F$2:$F$56,$K29))))</f>
        <v>0.5</v>
      </c>
      <c r="O29" s="9">
        <f>IF($K29="","",IF($B$12=25,INDEX(SuterWide!$B$2:$B$56,MIN($K29+1,ROWS(SuterWide!$A$2:$A$56))),IF($B$12=147,INDEX(SuterWide!$D$2:$D$56,MIN($K29+1,ROWS(SuterWide!$A$2:$A$56))),INDEX(SuterWide!$F$2:$F$56,MIN($K29+1,ROWS(SuterWide!$A$2:$A$56))))))</f>
        <v>0.65500000000000003</v>
      </c>
      <c r="P29" s="9">
        <f t="shared" si="3"/>
        <v>0.63635986600486161</v>
      </c>
      <c r="Q29" s="9">
        <f>IF($K29="","",IF($B$12=25,INDEX(SuterWide!$C$2:$C$56,$K29),IF($B$12=147,INDEX(SuterWide!$E$2:$E$56,$K29),INDEX(SuterWide!$G$2:$G$56,$K29))))</f>
        <v>0.5</v>
      </c>
      <c r="R29" s="9">
        <f>IF($K29="","",IF($B$12=25,INDEX(SuterWide!$C$2:$C$56,MIN($K29+1,ROWS(SuterWide!$A$2:$A$56))),IF($B$12=147,INDEX(SuterWide!$E$2:$E$56,MIN($K29+1,ROWS(SuterWide!$A$2:$A$56))),INDEX(SuterWide!$G$2:$G$56,MIN($K29+1,ROWS(SuterWide!$A$2:$A$56))))))</f>
        <v>0.54800000000000004</v>
      </c>
      <c r="S29" s="9">
        <f t="shared" si="4"/>
        <v>0.54222757140795719</v>
      </c>
      <c r="T29" s="9">
        <f t="shared" si="5"/>
        <v>6.2148982423801336</v>
      </c>
      <c r="U29" s="9">
        <f t="shared" si="6"/>
        <v>0.11489824238013391</v>
      </c>
      <c r="V29" s="9">
        <f t="shared" si="7"/>
        <v>0.38376433013118272</v>
      </c>
      <c r="W29" s="9">
        <f t="shared" si="8"/>
        <v>3.7643301311827138E-3</v>
      </c>
      <c r="X29" s="9">
        <f t="shared" si="9"/>
        <v>0.44115132838458598</v>
      </c>
      <c r="Y29" s="9">
        <f t="shared" si="10"/>
        <v>0.44115132838458598</v>
      </c>
      <c r="Z29" s="9">
        <f t="shared" si="11"/>
        <v>-1.348671615414021E-3</v>
      </c>
    </row>
    <row r="30" spans="1:26" x14ac:dyDescent="0.3">
      <c r="A30" s="8">
        <v>9</v>
      </c>
      <c r="B30" s="8">
        <f>IFERROR(MATCH($B$2&amp;"|"&amp;A30,CatalogData!$G:$G,0),"")</f>
        <v>315</v>
      </c>
      <c r="C30" s="9">
        <f>IF($B30="","",INDEX(CatalogData!$C:$C,$B30))</f>
        <v>280</v>
      </c>
      <c r="D30" s="9">
        <f>IF($B30="","",INDEX(CatalogData!$D:$D,$B30))</f>
        <v>5.63</v>
      </c>
      <c r="E30" s="9">
        <f>IF($B30="","",INDEX(CatalogData!$E:$E,$B30))</f>
        <v>0.40799999999999997</v>
      </c>
      <c r="F30" s="9">
        <f>IF($B30="","",INDEX(CatalogData!$F:$F,$B30))</f>
        <v>0.44</v>
      </c>
      <c r="G30" s="9">
        <f t="shared" si="0"/>
        <v>1</v>
      </c>
      <c r="H30" s="9">
        <f t="shared" si="13"/>
        <v>45</v>
      </c>
      <c r="I30" s="9">
        <f t="shared" si="12"/>
        <v>0.5</v>
      </c>
      <c r="J30" s="9">
        <f t="shared" si="2"/>
        <v>0.5</v>
      </c>
      <c r="K30" s="8">
        <f>IF($B30="","",IFERROR(MATCH($H30,SuterWide!$A$2:$A$56,1),""))</f>
        <v>10</v>
      </c>
      <c r="L30" s="9">
        <f>IF($K30="","",INDEX(SuterWide!$A$2:$A$56,$K30))</f>
        <v>45</v>
      </c>
      <c r="M30" s="9">
        <f>IF($K30="","",INDEX(SuterWide!$A$2:$A$56,MIN($K30+1,ROWS(SuterWide!$A$2:$A$56))))</f>
        <v>50</v>
      </c>
      <c r="N30" s="9">
        <f>IF($K30="","",IF($B$12=25,INDEX(SuterWide!$B$2:$B$56,$K30),IF($B$12=147,INDEX(SuterWide!$D$2:$D$56,$K30),INDEX(SuterWide!$F$2:$F$56,$K30))))</f>
        <v>0.5</v>
      </c>
      <c r="O30" s="9">
        <f>IF($K30="","",IF($B$12=25,INDEX(SuterWide!$B$2:$B$56,MIN($K30+1,ROWS(SuterWide!$A$2:$A$56))),IF($B$12=147,INDEX(SuterWide!$D$2:$D$56,MIN($K30+1,ROWS(SuterWide!$A$2:$A$56))),INDEX(SuterWide!$F$2:$F$56,MIN($K30+1,ROWS(SuterWide!$A$2:$A$56))))))</f>
        <v>0.65500000000000003</v>
      </c>
      <c r="P30" s="9">
        <f t="shared" si="3"/>
        <v>0.5</v>
      </c>
      <c r="Q30" s="9">
        <f>IF($K30="","",IF($B$12=25,INDEX(SuterWide!$C$2:$C$56,$K30),IF($B$12=147,INDEX(SuterWide!$E$2:$E$56,$K30),INDEX(SuterWide!$G$2:$G$56,$K30))))</f>
        <v>0.5</v>
      </c>
      <c r="R30" s="9">
        <f>IF($K30="","",IF($B$12=25,INDEX(SuterWide!$C$2:$C$56,MIN($K30+1,ROWS(SuterWide!$A$2:$A$56))),IF($B$12=147,INDEX(SuterWide!$E$2:$E$56,MIN($K30+1,ROWS(SuterWide!$A$2:$A$56))),INDEX(SuterWide!$G$2:$G$56,MIN($K30+1,ROWS(SuterWide!$A$2:$A$56))))))</f>
        <v>0.54800000000000004</v>
      </c>
      <c r="S30" s="9">
        <f t="shared" si="4"/>
        <v>0.5</v>
      </c>
      <c r="T30" s="9">
        <f t="shared" si="5"/>
        <v>5.63</v>
      </c>
      <c r="U30" s="9">
        <f t="shared" si="6"/>
        <v>0</v>
      </c>
      <c r="V30" s="9">
        <f t="shared" si="7"/>
        <v>0.40799999999999997</v>
      </c>
      <c r="W30" s="9">
        <f t="shared" si="8"/>
        <v>0</v>
      </c>
      <c r="X30" s="9">
        <f t="shared" si="9"/>
        <v>0.43854402289851119</v>
      </c>
      <c r="Y30" s="9">
        <f t="shared" si="10"/>
        <v>0.43854402289851119</v>
      </c>
      <c r="Z30" s="9">
        <f t="shared" si="11"/>
        <v>-1.4559771014888145E-3</v>
      </c>
    </row>
    <row r="31" spans="1:26" x14ac:dyDescent="0.3">
      <c r="A31" s="8">
        <v>10</v>
      </c>
      <c r="B31" s="8">
        <f>IFERROR(MATCH($B$2&amp;"|"&amp;A31,CatalogData!$G:$G,0),"")</f>
        <v>316</v>
      </c>
      <c r="C31" s="9">
        <f>IF($B31="","",INDEX(CatalogData!$C:$C,$B31))</f>
        <v>300</v>
      </c>
      <c r="D31" s="9">
        <f>IF($B31="","",INDEX(CatalogData!$D:$D,$B31))</f>
        <v>5.31</v>
      </c>
      <c r="E31" s="9">
        <f>IF($B31="","",INDEX(CatalogData!$E:$E,$B31))</f>
        <v>0.42</v>
      </c>
      <c r="F31" s="9">
        <f>IF($B31="","",INDEX(CatalogData!$F:$F,$B31))</f>
        <v>0.43</v>
      </c>
      <c r="G31" s="9">
        <f t="shared" si="0"/>
        <v>1.0714285714285714</v>
      </c>
      <c r="H31" s="9">
        <f t="shared" si="13"/>
        <v>43.025065989118026</v>
      </c>
      <c r="I31" s="9">
        <f t="shared" si="12"/>
        <v>0.43909662775342473</v>
      </c>
      <c r="J31" s="9">
        <f t="shared" si="2"/>
        <v>0.47925108285594525</v>
      </c>
      <c r="K31" s="8">
        <f>IF($B31="","",IFERROR(MATCH($H31,SuterWide!$A$2:$A$56,1),""))</f>
        <v>9</v>
      </c>
      <c r="L31" s="9">
        <f>IF($K31="","",INDEX(SuterWide!$A$2:$A$56,$K31))</f>
        <v>40</v>
      </c>
      <c r="M31" s="9">
        <f>IF($K31="","",INDEX(SuterWide!$A$2:$A$56,MIN($K31+1,ROWS(SuterWide!$A$2:$A$56))))</f>
        <v>45</v>
      </c>
      <c r="N31" s="9">
        <f>IF($K31="","",IF($B$12=25,INDEX(SuterWide!$B$2:$B$56,$K31),IF($B$12=147,INDEX(SuterWide!$D$2:$D$56,$K31),INDEX(SuterWide!$F$2:$F$56,$K31))))</f>
        <v>0.34499999999999997</v>
      </c>
      <c r="O31" s="9">
        <f>IF($K31="","",IF($B$12=25,INDEX(SuterWide!$B$2:$B$56,MIN($K31+1,ROWS(SuterWide!$A$2:$A$56))),IF($B$12=147,INDEX(SuterWide!$D$2:$D$56,MIN($K31+1,ROWS(SuterWide!$A$2:$A$56))),INDEX(SuterWide!$F$2:$F$56,MIN($K31+1,ROWS(SuterWide!$A$2:$A$56))))))</f>
        <v>0.5</v>
      </c>
      <c r="P31" s="9">
        <f t="shared" si="3"/>
        <v>0.43877704566265879</v>
      </c>
      <c r="Q31" s="9">
        <f>IF($K31="","",IF($B$12=25,INDEX(SuterWide!$C$2:$C$56,$K31),IF($B$12=147,INDEX(SuterWide!$E$2:$E$56,$K31),INDEX(SuterWide!$G$2:$G$56,$K31))))</f>
        <v>0.42499999999999999</v>
      </c>
      <c r="R31" s="9">
        <f>IF($K31="","",IF($B$12=25,INDEX(SuterWide!$C$2:$C$56,MIN($K31+1,ROWS(SuterWide!$A$2:$A$56))),IF($B$12=147,INDEX(SuterWide!$E$2:$E$56,MIN($K31+1,ROWS(SuterWide!$A$2:$A$56))),INDEX(SuterWide!$G$2:$G$56,MIN($K31+1,ROWS(SuterWide!$A$2:$A$56))))))</f>
        <v>0.5</v>
      </c>
      <c r="S31" s="9">
        <f t="shared" si="4"/>
        <v>0.47037598983677037</v>
      </c>
      <c r="T31" s="9">
        <f t="shared" si="5"/>
        <v>5.3061352905153258</v>
      </c>
      <c r="U31" s="9">
        <f t="shared" si="6"/>
        <v>-3.8647094846737673E-3</v>
      </c>
      <c r="V31" s="9">
        <f t="shared" si="7"/>
        <v>0.41222215827695086</v>
      </c>
      <c r="W31" s="9">
        <f t="shared" si="8"/>
        <v>-7.7778417230491281E-3</v>
      </c>
      <c r="X31" s="9">
        <f t="shared" si="9"/>
        <v>0.43830373752222146</v>
      </c>
      <c r="Y31" s="9">
        <f t="shared" si="10"/>
        <v>0.43830373752222146</v>
      </c>
      <c r="Z31" s="9">
        <f t="shared" si="11"/>
        <v>8.303737522221466E-3</v>
      </c>
    </row>
    <row r="32" spans="1:26" x14ac:dyDescent="0.3">
      <c r="A32" s="8">
        <v>11</v>
      </c>
      <c r="B32" s="8">
        <f>IFERROR(MATCH($B$2&amp;"|"&amp;A32,CatalogData!$G:$G,0),"")</f>
        <v>317</v>
      </c>
      <c r="C32" s="9">
        <f>IF($B32="","",INDEX(CatalogData!$C:$C,$B32))</f>
        <v>320</v>
      </c>
      <c r="D32" s="9">
        <f>IF($B32="","",INDEX(CatalogData!$D:$D,$B32))</f>
        <v>4.93</v>
      </c>
      <c r="E32" s="9">
        <f>IF($B32="","",INDEX(CatalogData!$E:$E,$B32))</f>
        <v>0.433</v>
      </c>
      <c r="F32" s="9">
        <f>IF($B32="","",INDEX(CatalogData!$F:$F,$B32))</f>
        <v>0.41</v>
      </c>
      <c r="G32" s="9">
        <f t="shared" si="0"/>
        <v>1.1428571428571428</v>
      </c>
      <c r="H32" s="9">
        <f t="shared" si="13"/>
        <v>41.185925165709648</v>
      </c>
      <c r="I32" s="9">
        <f t="shared" si="12"/>
        <v>0.37971360757006556</v>
      </c>
      <c r="J32" s="9">
        <f t="shared" si="2"/>
        <v>0.46019868124240854</v>
      </c>
      <c r="K32" s="8">
        <f>IF($B32="","",IFERROR(MATCH($H32,SuterWide!$A$2:$A$56,1),""))</f>
        <v>9</v>
      </c>
      <c r="L32" s="9">
        <f>IF($K32="","",INDEX(SuterWide!$A$2:$A$56,$K32))</f>
        <v>40</v>
      </c>
      <c r="M32" s="9">
        <f>IF($K32="","",INDEX(SuterWide!$A$2:$A$56,MIN($K32+1,ROWS(SuterWide!$A$2:$A$56))))</f>
        <v>45</v>
      </c>
      <c r="N32" s="9">
        <f>IF($K32="","",IF($B$12=25,INDEX(SuterWide!$B$2:$B$56,$K32),IF($B$12=147,INDEX(SuterWide!$D$2:$D$56,$K32),INDEX(SuterWide!$F$2:$F$56,$K32))))</f>
        <v>0.34499999999999997</v>
      </c>
      <c r="O32" s="9">
        <f>IF($K32="","",IF($B$12=25,INDEX(SuterWide!$B$2:$B$56,MIN($K32+1,ROWS(SuterWide!$A$2:$A$56))),IF($B$12=147,INDEX(SuterWide!$D$2:$D$56,MIN($K32+1,ROWS(SuterWide!$A$2:$A$56))),INDEX(SuterWide!$F$2:$F$56,MIN($K32+1,ROWS(SuterWide!$A$2:$A$56))))))</f>
        <v>0.5</v>
      </c>
      <c r="P32" s="9">
        <f t="shared" si="3"/>
        <v>0.38176368013699907</v>
      </c>
      <c r="Q32" s="9">
        <f>IF($K32="","",IF($B$12=25,INDEX(SuterWide!$C$2:$C$56,$K32),IF($B$12=147,INDEX(SuterWide!$E$2:$E$56,$K32),INDEX(SuterWide!$G$2:$G$56,$K32))))</f>
        <v>0.42499999999999999</v>
      </c>
      <c r="R32" s="9">
        <f>IF($K32="","",IF($B$12=25,INDEX(SuterWide!$C$2:$C$56,MIN($K32+1,ROWS(SuterWide!$A$2:$A$56))),IF($B$12=147,INDEX(SuterWide!$E$2:$E$56,MIN($K32+1,ROWS(SuterWide!$A$2:$A$56))),INDEX(SuterWide!$G$2:$G$56,MIN($K32+1,ROWS(SuterWide!$A$2:$A$56))))))</f>
        <v>0.5</v>
      </c>
      <c r="S32" s="9">
        <f t="shared" si="4"/>
        <v>0.44278887748564472</v>
      </c>
      <c r="T32" s="9">
        <f t="shared" si="5"/>
        <v>4.9566170544154575</v>
      </c>
      <c r="U32" s="9">
        <f t="shared" si="6"/>
        <v>2.6617054415457808E-2</v>
      </c>
      <c r="V32" s="9">
        <f t="shared" si="7"/>
        <v>0.41661915117547266</v>
      </c>
      <c r="W32" s="9">
        <f t="shared" si="8"/>
        <v>-1.6380848824527339E-2</v>
      </c>
      <c r="X32" s="9">
        <f t="shared" si="9"/>
        <v>0.43211868769993239</v>
      </c>
      <c r="Y32" s="9">
        <f t="shared" si="10"/>
        <v>0.43211868769993239</v>
      </c>
      <c r="Z32" s="9">
        <f t="shared" si="11"/>
        <v>2.2118687699932416E-2</v>
      </c>
    </row>
    <row r="33" spans="1:26" x14ac:dyDescent="0.3">
      <c r="A33" s="8">
        <v>12</v>
      </c>
      <c r="B33" s="8">
        <f>IFERROR(MATCH($B$2&amp;"|"&amp;A33,CatalogData!$G:$G,0),"")</f>
        <v>318</v>
      </c>
      <c r="C33" s="9">
        <f>IF($B33="","",INDEX(CatalogData!$C:$C,$B33))</f>
        <v>350</v>
      </c>
      <c r="D33" s="9">
        <f>IF($B33="","",INDEX(CatalogData!$D:$D,$B33))</f>
        <v>4.26</v>
      </c>
      <c r="E33" s="9">
        <f>IF($B33="","",INDEX(CatalogData!$E:$E,$B33))</f>
        <v>0.45</v>
      </c>
      <c r="F33" s="9">
        <f>IF($B33="","",INDEX(CatalogData!$F:$F,$B33))</f>
        <v>0.37</v>
      </c>
      <c r="G33" s="9">
        <f t="shared" si="0"/>
        <v>1.25</v>
      </c>
      <c r="H33" s="9">
        <f t="shared" si="13"/>
        <v>38.659808254090095</v>
      </c>
      <c r="I33" s="9">
        <f t="shared" si="12"/>
        <v>0.29528224234284972</v>
      </c>
      <c r="J33" s="9">
        <f t="shared" si="2"/>
        <v>0.43041606886657102</v>
      </c>
      <c r="K33" s="8">
        <f>IF($B33="","",IFERROR(MATCH($H33,SuterWide!$A$2:$A$56,1),""))</f>
        <v>8</v>
      </c>
      <c r="L33" s="9">
        <f>IF($K33="","",INDEX(SuterWide!$A$2:$A$56,$K33))</f>
        <v>35</v>
      </c>
      <c r="M33" s="9">
        <f>IF($K33="","",INDEX(SuterWide!$A$2:$A$56,MIN($K33+1,ROWS(SuterWide!$A$2:$A$56))))</f>
        <v>40</v>
      </c>
      <c r="N33" s="9">
        <f>IF($K33="","",IF($B$12=25,INDEX(SuterWide!$B$2:$B$56,$K33),IF($B$12=147,INDEX(SuterWide!$D$2:$D$56,$K33),INDEX(SuterWide!$F$2:$F$56,$K33))))</f>
        <v>0.2</v>
      </c>
      <c r="O33" s="9">
        <f>IF($K33="","",IF($B$12=25,INDEX(SuterWide!$B$2:$B$56,MIN($K33+1,ROWS(SuterWide!$A$2:$A$56))),IF($B$12=147,INDEX(SuterWide!$D$2:$D$56,MIN($K33+1,ROWS(SuterWide!$A$2:$A$56))),INDEX(SuterWide!$F$2:$F$56,MIN($K33+1,ROWS(SuterWide!$A$2:$A$56))))))</f>
        <v>0.34499999999999997</v>
      </c>
      <c r="P33" s="9">
        <f t="shared" si="3"/>
        <v>0.30613443936861273</v>
      </c>
      <c r="Q33" s="9">
        <f>IF($K33="","",IF($B$12=25,INDEX(SuterWide!$C$2:$C$56,$K33),IF($B$12=147,INDEX(SuterWide!$E$2:$E$56,$K33),INDEX(SuterWide!$G$2:$G$56,$K33))))</f>
        <v>0.32</v>
      </c>
      <c r="R33" s="9">
        <f>IF($K33="","",IF($B$12=25,INDEX(SuterWide!$C$2:$C$56,MIN($K33+1,ROWS(SuterWide!$A$2:$A$56))),IF($B$12=147,INDEX(SuterWide!$E$2:$E$56,MIN($K33+1,ROWS(SuterWide!$A$2:$A$56))),INDEX(SuterWide!$G$2:$G$56,MIN($K33+1,ROWS(SuterWide!$A$2:$A$56))))))</f>
        <v>0.42499999999999999</v>
      </c>
      <c r="S33" s="9">
        <f t="shared" si="4"/>
        <v>0.39685597333589195</v>
      </c>
      <c r="T33" s="9">
        <f t="shared" si="5"/>
        <v>4.4165632899660547</v>
      </c>
      <c r="U33" s="9">
        <f t="shared" si="6"/>
        <v>0.15656328996605495</v>
      </c>
      <c r="V33" s="9">
        <f t="shared" si="7"/>
        <v>0.414912920122675</v>
      </c>
      <c r="W33" s="9">
        <f t="shared" si="8"/>
        <v>-3.5087079877325011E-2</v>
      </c>
      <c r="X33" s="9">
        <f t="shared" si="9"/>
        <v>0.4228657170634989</v>
      </c>
      <c r="Y33" s="9">
        <f t="shared" si="10"/>
        <v>0.4228657170634989</v>
      </c>
      <c r="Z33" s="9">
        <f t="shared" si="11"/>
        <v>5.2865717063498907E-2</v>
      </c>
    </row>
    <row r="34" spans="1:26" x14ac:dyDescent="0.3">
      <c r="A34" s="8">
        <v>13</v>
      </c>
      <c r="B34" s="8">
        <f>IFERROR(MATCH($B$2&amp;"|"&amp;A34,CatalogData!$G:$G,0),"")</f>
        <v>319</v>
      </c>
      <c r="C34" s="9">
        <f>IF($B34="","",INDEX(CatalogData!$C:$C,$B34))</f>
        <v>400</v>
      </c>
      <c r="D34" s="9">
        <f>IF($B34="","",INDEX(CatalogData!$D:$D,$B34))</f>
        <v>2.92</v>
      </c>
      <c r="E34" s="9">
        <f>IF($B34="","",INDEX(CatalogData!$E:$E,$B34))</f>
        <v>0.47599999999999998</v>
      </c>
      <c r="F34" s="9">
        <f>IF($B34="","",INDEX(CatalogData!$F:$F,$B34))</f>
        <v>0.27</v>
      </c>
      <c r="G34" s="9">
        <f t="shared" si="0"/>
        <v>1.4285714285714286</v>
      </c>
      <c r="H34" s="9">
        <f t="shared" si="13"/>
        <v>34.992020198558663</v>
      </c>
      <c r="I34" s="9">
        <f t="shared" si="12"/>
        <v>0.17056278088380797</v>
      </c>
      <c r="J34" s="9">
        <f t="shared" si="2"/>
        <v>0.38366890380313201</v>
      </c>
      <c r="K34" s="8">
        <f>IF($B34="","",IFERROR(MATCH($H34,SuterWide!$A$2:$A$56,1),""))</f>
        <v>7</v>
      </c>
      <c r="L34" s="9">
        <f>IF($K34="","",INDEX(SuterWide!$A$2:$A$56,$K34))</f>
        <v>30</v>
      </c>
      <c r="M34" s="9">
        <f>IF($K34="","",INDEX(SuterWide!$A$2:$A$56,MIN($K34+1,ROWS(SuterWide!$A$2:$A$56))))</f>
        <v>35</v>
      </c>
      <c r="N34" s="9">
        <f>IF($K34="","",IF($B$12=25,INDEX(SuterWide!$B$2:$B$56,$K34),IF($B$12=147,INDEX(SuterWide!$D$2:$D$56,$K34),INDEX(SuterWide!$F$2:$F$56,$K34))))</f>
        <v>7.4999999999999997E-2</v>
      </c>
      <c r="O34" s="9">
        <f>IF($K34="","",IF($B$12=25,INDEX(SuterWide!$B$2:$B$56,MIN($K34+1,ROWS(SuterWide!$A$2:$A$56))),IF($B$12=147,INDEX(SuterWide!$D$2:$D$56,MIN($K34+1,ROWS(SuterWide!$A$2:$A$56))),INDEX(SuterWide!$F$2:$F$56,MIN($K34+1,ROWS(SuterWide!$A$2:$A$56))))))</f>
        <v>0.2</v>
      </c>
      <c r="P34" s="9">
        <f t="shared" si="3"/>
        <v>0.19980050496396656</v>
      </c>
      <c r="Q34" s="9">
        <f>IF($K34="","",IF($B$12=25,INDEX(SuterWide!$C$2:$C$56,$K34),IF($B$12=147,INDEX(SuterWide!$E$2:$E$56,$K34),INDEX(SuterWide!$G$2:$G$56,$K34))))</f>
        <v>0.22800000000000001</v>
      </c>
      <c r="R34" s="9">
        <f>IF($K34="","",IF($B$12=25,INDEX(SuterWide!$C$2:$C$56,MIN($K34+1,ROWS(SuterWide!$A$2:$A$56))),IF($B$12=147,INDEX(SuterWide!$E$2:$E$56,MIN($K34+1,ROWS(SuterWide!$A$2:$A$56))),INDEX(SuterWide!$G$2:$G$56,MIN($K34+1,ROWS(SuterWide!$A$2:$A$56))))))</f>
        <v>0.32</v>
      </c>
      <c r="S34" s="9">
        <f t="shared" si="4"/>
        <v>0.31985317165347943</v>
      </c>
      <c r="T34" s="9">
        <f t="shared" si="5"/>
        <v>3.4205438693698498</v>
      </c>
      <c r="U34" s="9">
        <f t="shared" si="6"/>
        <v>0.50054386936984985</v>
      </c>
      <c r="V34" s="9">
        <f t="shared" si="7"/>
        <v>0.39682681655425145</v>
      </c>
      <c r="W34" s="9">
        <f t="shared" si="8"/>
        <v>-7.917318344574853E-2</v>
      </c>
      <c r="X34" s="9">
        <f t="shared" si="9"/>
        <v>0.39134615946745582</v>
      </c>
      <c r="Y34" s="9">
        <f t="shared" si="10"/>
        <v>0.39134615946745582</v>
      </c>
      <c r="Z34" s="9">
        <f t="shared" si="11"/>
        <v>0.12134615946745581</v>
      </c>
    </row>
    <row r="35" spans="1:26" x14ac:dyDescent="0.3">
      <c r="A35" s="8">
        <v>14</v>
      </c>
      <c r="B35" s="8">
        <f>IFERROR(MATCH($B$2&amp;"|"&amp;A35,CatalogData!$G:$G,0),"")</f>
        <v>320</v>
      </c>
      <c r="C35" s="9">
        <f>IF($B35="","",INDEX(CatalogData!$C:$C,$B35))</f>
        <v>440</v>
      </c>
      <c r="D35" s="9">
        <f>IF($B35="","",INDEX(CatalogData!$D:$D,$B35))</f>
        <v>1.73</v>
      </c>
      <c r="E35" s="9">
        <f>IF($B35="","",INDEX(CatalogData!$E:$E,$B35))</f>
        <v>0.49199999999999999</v>
      </c>
      <c r="F35" s="9">
        <f>IF($B35="","",INDEX(CatalogData!$F:$F,$B35))</f>
        <v>0.18</v>
      </c>
      <c r="G35" s="9">
        <f t="shared" si="0"/>
        <v>1.5714285714285714</v>
      </c>
      <c r="H35" s="9">
        <f t="shared" si="13"/>
        <v>32.471192290848492</v>
      </c>
      <c r="I35" s="9">
        <f t="shared" si="12"/>
        <v>8.856963744645284E-2</v>
      </c>
      <c r="J35" s="9">
        <f t="shared" si="2"/>
        <v>0.34757785467128033</v>
      </c>
      <c r="K35" s="8">
        <f>IF($B35="","",IFERROR(MATCH($H35,SuterWide!$A$2:$A$56,1),""))</f>
        <v>7</v>
      </c>
      <c r="L35" s="9">
        <f>IF($K35="","",INDEX(SuterWide!$A$2:$A$56,$K35))</f>
        <v>30</v>
      </c>
      <c r="M35" s="9">
        <f>IF($K35="","",INDEX(SuterWide!$A$2:$A$56,MIN($K35+1,ROWS(SuterWide!$A$2:$A$56))))</f>
        <v>35</v>
      </c>
      <c r="N35" s="9">
        <f>IF($K35="","",IF($B$12=25,INDEX(SuterWide!$B$2:$B$56,$K35),IF($B$12=147,INDEX(SuterWide!$D$2:$D$56,$K35),INDEX(SuterWide!$F$2:$F$56,$K35))))</f>
        <v>7.4999999999999997E-2</v>
      </c>
      <c r="O35" s="9">
        <f>IF($K35="","",IF($B$12=25,INDEX(SuterWide!$B$2:$B$56,MIN($K35+1,ROWS(SuterWide!$A$2:$A$56))),IF($B$12=147,INDEX(SuterWide!$D$2:$D$56,MIN($K35+1,ROWS(SuterWide!$A$2:$A$56))),INDEX(SuterWide!$F$2:$F$56,MIN($K35+1,ROWS(SuterWide!$A$2:$A$56))))))</f>
        <v>0.2</v>
      </c>
      <c r="P35" s="9">
        <f t="shared" si="3"/>
        <v>0.13677980727121231</v>
      </c>
      <c r="Q35" s="9">
        <f>IF($K35="","",IF($B$12=25,INDEX(SuterWide!$C$2:$C$56,$K35),IF($B$12=147,INDEX(SuterWide!$E$2:$E$56,$K35),INDEX(SuterWide!$G$2:$G$56,$K35))))</f>
        <v>0.22800000000000001</v>
      </c>
      <c r="R35" s="9">
        <f>IF($K35="","",IF($B$12=25,INDEX(SuterWide!$C$2:$C$56,MIN($K35+1,ROWS(SuterWide!$A$2:$A$56))),IF($B$12=147,INDEX(SuterWide!$E$2:$E$56,MIN($K35+1,ROWS(SuterWide!$A$2:$A$56))),INDEX(SuterWide!$G$2:$G$56,MIN($K35+1,ROWS(SuterWide!$A$2:$A$56))))))</f>
        <v>0.32</v>
      </c>
      <c r="S35" s="9">
        <f t="shared" si="4"/>
        <v>0.27346993815161225</v>
      </c>
      <c r="T35" s="9">
        <f t="shared" si="5"/>
        <v>2.6716725212097407</v>
      </c>
      <c r="U35" s="9">
        <f t="shared" si="6"/>
        <v>0.94167252120974076</v>
      </c>
      <c r="V35" s="9">
        <f t="shared" si="7"/>
        <v>0.38709948796318006</v>
      </c>
      <c r="W35" s="9">
        <f t="shared" si="8"/>
        <v>-0.10490051203681994</v>
      </c>
      <c r="X35" s="9">
        <f t="shared" si="9"/>
        <v>0.34468329536211761</v>
      </c>
      <c r="Y35" s="9">
        <f t="shared" si="10"/>
        <v>0.34468329536211761</v>
      </c>
      <c r="Z35" s="9">
        <f t="shared" si="11"/>
        <v>0.16468329536211762</v>
      </c>
    </row>
    <row r="36" spans="1:26" x14ac:dyDescent="0.3">
      <c r="A36" s="8">
        <v>15</v>
      </c>
      <c r="B36" s="8">
        <f>IFERROR(MATCH($B$2&amp;"|"&amp;A36,CatalogData!$G:$G,0),"")</f>
        <v>321</v>
      </c>
      <c r="C36" s="9">
        <f>IF($B36="","",INDEX(CatalogData!$C:$C,$B36))</f>
        <v>480</v>
      </c>
      <c r="D36" s="9">
        <f>IF($B36="","",INDEX(CatalogData!$D:$D,$B36))</f>
        <v>0.55000000000000004</v>
      </c>
      <c r="E36" s="9">
        <f>IF($B36="","",INDEX(CatalogData!$E:$E,$B36))</f>
        <v>0.505</v>
      </c>
      <c r="F36" s="9">
        <f>IF($B36="","",INDEX(CatalogData!$F:$F,$B36))</f>
        <v>0.06</v>
      </c>
      <c r="G36" s="9">
        <f t="shared" si="0"/>
        <v>1.7142857142857142</v>
      </c>
      <c r="H36" s="9">
        <f t="shared" si="13"/>
        <v>30.256437163529263</v>
      </c>
      <c r="I36" s="9">
        <f t="shared" si="12"/>
        <v>2.4802363356923957E-2</v>
      </c>
      <c r="J36" s="9">
        <f t="shared" si="2"/>
        <v>0.31424616478715844</v>
      </c>
      <c r="K36" s="8">
        <f>IF($B36="","",IFERROR(MATCH($H36,SuterWide!$A$2:$A$56,1),""))</f>
        <v>7</v>
      </c>
      <c r="L36" s="9">
        <f>IF($K36="","",INDEX(SuterWide!$A$2:$A$56,$K36))</f>
        <v>30</v>
      </c>
      <c r="M36" s="9">
        <f>IF($K36="","",INDEX(SuterWide!$A$2:$A$56,MIN($K36+1,ROWS(SuterWide!$A$2:$A$56))))</f>
        <v>35</v>
      </c>
      <c r="N36" s="9">
        <f>IF($K36="","",IF($B$12=25,INDEX(SuterWide!$B$2:$B$56,$K36),IF($B$12=147,INDEX(SuterWide!$D$2:$D$56,$K36),INDEX(SuterWide!$F$2:$F$56,$K36))))</f>
        <v>7.4999999999999997E-2</v>
      </c>
      <c r="O36" s="9">
        <f>IF($K36="","",IF($B$12=25,INDEX(SuterWide!$B$2:$B$56,MIN($K36+1,ROWS(SuterWide!$A$2:$A$56))),IF($B$12=147,INDEX(SuterWide!$D$2:$D$56,MIN($K36+1,ROWS(SuterWide!$A$2:$A$56))),INDEX(SuterWide!$F$2:$F$56,MIN($K36+1,ROWS(SuterWide!$A$2:$A$56))))))</f>
        <v>0.2</v>
      </c>
      <c r="P36" s="9">
        <f t="shared" si="3"/>
        <v>8.1410929088231568E-2</v>
      </c>
      <c r="Q36" s="9">
        <f>IF($K36="","",IF($B$12=25,INDEX(SuterWide!$C$2:$C$56,$K36),IF($B$12=147,INDEX(SuterWide!$E$2:$E$56,$K36),INDEX(SuterWide!$G$2:$G$56,$K36))))</f>
        <v>0.22800000000000001</v>
      </c>
      <c r="R36" s="9">
        <f>IF($K36="","",IF($B$12=25,INDEX(SuterWide!$C$2:$C$56,MIN($K36+1,ROWS(SuterWide!$A$2:$A$56))),IF($B$12=147,INDEX(SuterWide!$E$2:$E$56,MIN($K36+1,ROWS(SuterWide!$A$2:$A$56))),INDEX(SuterWide!$G$2:$G$56,MIN($K36+1,ROWS(SuterWide!$A$2:$A$56))))))</f>
        <v>0.32</v>
      </c>
      <c r="S36" s="9">
        <f t="shared" si="4"/>
        <v>0.23271844380893844</v>
      </c>
      <c r="T36" s="9">
        <f t="shared" si="5"/>
        <v>1.8053122742445211</v>
      </c>
      <c r="U36" s="9">
        <f t="shared" si="6"/>
        <v>1.2553122742445211</v>
      </c>
      <c r="V36" s="9">
        <f t="shared" si="7"/>
        <v>0.37398328855696011</v>
      </c>
      <c r="W36" s="9">
        <f t="shared" si="8"/>
        <v>-0.13101671144303989</v>
      </c>
      <c r="X36" s="9">
        <f t="shared" si="9"/>
        <v>0.26299549495517077</v>
      </c>
      <c r="Y36" s="9">
        <f t="shared" si="10"/>
        <v>0.26299549495517077</v>
      </c>
      <c r="Z36" s="9">
        <f t="shared" si="11"/>
        <v>0.20299549495517077</v>
      </c>
    </row>
    <row r="37" spans="1:26" x14ac:dyDescent="0.3">
      <c r="A37" s="8">
        <v>16</v>
      </c>
      <c r="B37" s="8">
        <f>IFERROR(MATCH($B$2&amp;"|"&amp;A37,CatalogData!$G:$G,0),"")</f>
        <v>322</v>
      </c>
      <c r="C37" s="9">
        <f>IF($B37="","",INDEX(CatalogData!$C:$C,$B37))</f>
        <v>500</v>
      </c>
      <c r="D37" s="9">
        <f>IF($B37="","",INDEX(CatalogData!$D:$D,$B37))</f>
        <v>0</v>
      </c>
      <c r="E37" s="9">
        <f>IF($B37="","",INDEX(CatalogData!$E:$E,$B37))</f>
        <v>0.50900000000000001</v>
      </c>
      <c r="F37" s="9">
        <f>IF($B37="","",INDEX(CatalogData!$F:$F,$B37))</f>
        <v>0</v>
      </c>
      <c r="G37" s="9">
        <f t="shared" si="0"/>
        <v>1.7857142857142858</v>
      </c>
      <c r="H37" s="9">
        <f t="shared" si="13"/>
        <v>29.248826336546973</v>
      </c>
      <c r="I37" s="9">
        <f t="shared" si="12"/>
        <v>0</v>
      </c>
      <c r="J37" s="9">
        <f t="shared" si="2"/>
        <v>0.2978314346445034</v>
      </c>
      <c r="K37" s="8">
        <f>IF($B37="","",IFERROR(MATCH($H37,SuterWide!$A$2:$A$56,1),""))</f>
        <v>6</v>
      </c>
      <c r="L37" s="9">
        <f>IF($K37="","",INDEX(SuterWide!$A$2:$A$56,$K37))</f>
        <v>25</v>
      </c>
      <c r="M37" s="9">
        <f>IF($K37="","",INDEX(SuterWide!$A$2:$A$56,MIN($K37+1,ROWS(SuterWide!$A$2:$A$56))))</f>
        <v>30</v>
      </c>
      <c r="N37" s="9">
        <f>IF($K37="","",IF($B$12=25,INDEX(SuterWide!$B$2:$B$56,$K37),IF($B$12=147,INDEX(SuterWide!$D$2:$D$56,$K37),INDEX(SuterWide!$F$2:$F$56,$K37))))</f>
        <v>-3.6999999999999998E-2</v>
      </c>
      <c r="O37" s="9">
        <f>IF($K37="","",IF($B$12=25,INDEX(SuterWide!$B$2:$B$56,MIN($K37+1,ROWS(SuterWide!$A$2:$A$56))),IF($B$12=147,INDEX(SuterWide!$D$2:$D$56,MIN($K37+1,ROWS(SuterWide!$A$2:$A$56))),INDEX(SuterWide!$F$2:$F$56,MIN($K37+1,ROWS(SuterWide!$A$2:$A$56))))))</f>
        <v>7.4999999999999997E-2</v>
      </c>
      <c r="P37" s="9">
        <f t="shared" si="3"/>
        <v>5.8173709938652181E-2</v>
      </c>
      <c r="Q37" s="9">
        <f>IF($K37="","",IF($B$12=25,INDEX(SuterWide!$C$2:$C$56,$K37),IF($B$12=147,INDEX(SuterWide!$E$2:$E$56,$K37),INDEX(SuterWide!$G$2:$G$56,$K37))))</f>
        <v>0.13500000000000001</v>
      </c>
      <c r="R37" s="9">
        <f>IF($K37="","",IF($B$12=25,INDEX(SuterWide!$C$2:$C$56,MIN($K37+1,ROWS(SuterWide!$A$2:$A$56))),IF($B$12=147,INDEX(SuterWide!$E$2:$E$56,MIN($K37+1,ROWS(SuterWide!$A$2:$A$56))),INDEX(SuterWide!$G$2:$G$56,MIN($K37+1,ROWS(SuterWide!$A$2:$A$56))))))</f>
        <v>0.22800000000000001</v>
      </c>
      <c r="S37" s="9">
        <f t="shared" si="4"/>
        <v>0.21402816985977369</v>
      </c>
      <c r="T37" s="9">
        <f t="shared" si="5"/>
        <v>1.3718993229068177</v>
      </c>
      <c r="U37" s="9">
        <f t="shared" si="6"/>
        <v>1.3718993229068177</v>
      </c>
      <c r="V37" s="9">
        <f t="shared" si="7"/>
        <v>0.36577851021218705</v>
      </c>
      <c r="W37" s="9">
        <f t="shared" si="8"/>
        <v>-0.14322148978781296</v>
      </c>
      <c r="X37" s="9">
        <f t="shared" si="9"/>
        <v>0.21285359639593182</v>
      </c>
      <c r="Y37" s="9">
        <f t="shared" si="10"/>
        <v>0.21285359639593182</v>
      </c>
      <c r="Z37" s="9">
        <f t="shared" si="11"/>
        <v>0.21285359639593182</v>
      </c>
    </row>
    <row r="38" spans="1:26" x14ac:dyDescent="0.3">
      <c r="A38" s="8">
        <v>17</v>
      </c>
      <c r="B38" s="8" t="str">
        <f>IFERROR(MATCH($B$2&amp;"|"&amp;A38,CatalogData!$G:$G,0),"")</f>
        <v/>
      </c>
      <c r="C38" s="9" t="str">
        <f>IF($B38="","",INDEX(CatalogData!$C:$C,$B38))</f>
        <v/>
      </c>
      <c r="D38" s="9" t="str">
        <f>IF($B38="","",INDEX(CatalogData!$D:$D,$B38))</f>
        <v/>
      </c>
      <c r="E38" s="9" t="str">
        <f>IF($B38="","",INDEX(CatalogData!$E:$E,$B38))</f>
        <v/>
      </c>
      <c r="F38" s="9" t="str">
        <f>IF($B38="","",INDEX(CatalogData!$F:$F,$B38))</f>
        <v/>
      </c>
      <c r="G38" s="9" t="str">
        <f t="shared" si="0"/>
        <v/>
      </c>
      <c r="H38" s="9" t="str">
        <f t="shared" si="13"/>
        <v/>
      </c>
      <c r="I38" s="9" t="str">
        <f t="shared" si="12"/>
        <v/>
      </c>
      <c r="J38" s="9" t="str">
        <f t="shared" si="2"/>
        <v/>
      </c>
      <c r="K38" s="8" t="str">
        <f>IF($B38="","",IFERROR(MATCH($H38,SuterWide!$A$2:$A$56,1),""))</f>
        <v/>
      </c>
      <c r="L38" s="9" t="str">
        <f>IF($K38="","",INDEX(SuterWide!$A$2:$A$56,$K38))</f>
        <v/>
      </c>
      <c r="M38" s="9" t="str">
        <f>IF($K38="","",INDEX(SuterWide!$A$2:$A$56,MIN($K38+1,ROWS(SuterWide!$A$2:$A$56))))</f>
        <v/>
      </c>
      <c r="N38" s="9" t="str">
        <f>IF($K38="","",IF($B$12=25,INDEX(SuterWide!$B$2:$B$56,$K38),IF($B$12=147,INDEX(SuterWide!$D$2:$D$56,$K38),INDEX(SuterWide!$F$2:$F$56,$K38))))</f>
        <v/>
      </c>
      <c r="O38" s="9" t="str">
        <f>IF($K38="","",IF($B$12=25,INDEX(SuterWide!$B$2:$B$56,MIN($K38+1,ROWS(SuterWide!$A$2:$A$56))),IF($B$12=147,INDEX(SuterWide!$D$2:$D$56,MIN($K38+1,ROWS(SuterWide!$A$2:$A$56))),INDEX(SuterWide!$F$2:$F$56,MIN($K38+1,ROWS(SuterWide!$A$2:$A$56))))))</f>
        <v/>
      </c>
      <c r="P38" s="9" t="str">
        <f t="shared" si="3"/>
        <v/>
      </c>
      <c r="Q38" s="9" t="str">
        <f>IF($K38="","",IF($B$12=25,INDEX(SuterWide!$C$2:$C$56,$K38),IF($B$12=147,INDEX(SuterWide!$E$2:$E$56,$K38),INDEX(SuterWide!$G$2:$G$56,$K38))))</f>
        <v/>
      </c>
      <c r="R38" s="9" t="str">
        <f>IF($K38="","",IF($B$12=25,INDEX(SuterWide!$C$2:$C$56,MIN($K38+1,ROWS(SuterWide!$A$2:$A$56))),IF($B$12=147,INDEX(SuterWide!$E$2:$E$56,MIN($K38+1,ROWS(SuterWide!$A$2:$A$56))),INDEX(SuterWide!$G$2:$G$56,MIN($K38+1,ROWS(SuterWide!$A$2:$A$56))))))</f>
        <v/>
      </c>
      <c r="S38" s="9" t="str">
        <f t="shared" si="4"/>
        <v/>
      </c>
      <c r="T38" s="9" t="str">
        <f t="shared" si="5"/>
        <v/>
      </c>
      <c r="U38" s="9" t="str">
        <f t="shared" si="6"/>
        <v/>
      </c>
      <c r="V38" s="9" t="str">
        <f t="shared" si="7"/>
        <v/>
      </c>
      <c r="W38" s="9" t="str">
        <f t="shared" si="8"/>
        <v/>
      </c>
      <c r="X38" s="9" t="str">
        <f t="shared" si="9"/>
        <v/>
      </c>
      <c r="Y38" s="9" t="str">
        <f t="shared" si="10"/>
        <v/>
      </c>
      <c r="Z38" s="9" t="str">
        <f t="shared" si="11"/>
        <v/>
      </c>
    </row>
    <row r="39" spans="1:26" x14ac:dyDescent="0.3">
      <c r="A39" s="8">
        <v>18</v>
      </c>
      <c r="B39" s="8" t="str">
        <f>IFERROR(MATCH($B$2&amp;"|"&amp;A39,CatalogData!$G:$G,0),"")</f>
        <v/>
      </c>
      <c r="C39" s="9" t="str">
        <f>IF($B39="","",INDEX(CatalogData!$C:$C,$B39))</f>
        <v/>
      </c>
      <c r="D39" s="9" t="str">
        <f>IF($B39="","",INDEX(CatalogData!$D:$D,$B39))</f>
        <v/>
      </c>
      <c r="E39" s="9" t="str">
        <f>IF($B39="","",INDEX(CatalogData!$E:$E,$B39))</f>
        <v/>
      </c>
      <c r="F39" s="9" t="str">
        <f>IF($B39="","",INDEX(CatalogData!$F:$F,$B39))</f>
        <v/>
      </c>
      <c r="G39" s="9" t="str">
        <f t="shared" si="0"/>
        <v/>
      </c>
      <c r="H39" s="9" t="str">
        <f t="shared" si="13"/>
        <v/>
      </c>
      <c r="I39" s="9" t="str">
        <f t="shared" si="12"/>
        <v/>
      </c>
      <c r="J39" s="9" t="str">
        <f t="shared" si="2"/>
        <v/>
      </c>
      <c r="K39" s="8" t="str">
        <f>IF($B39="","",IFERROR(MATCH($H39,SuterWide!$A$2:$A$56,1),""))</f>
        <v/>
      </c>
      <c r="L39" s="9" t="str">
        <f>IF($K39="","",INDEX(SuterWide!$A$2:$A$56,$K39))</f>
        <v/>
      </c>
      <c r="M39" s="9" t="str">
        <f>IF($K39="","",INDEX(SuterWide!$A$2:$A$56,MIN($K39+1,ROWS(SuterWide!$A$2:$A$56))))</f>
        <v/>
      </c>
      <c r="N39" s="9" t="str">
        <f>IF($K39="","",IF($B$12=25,INDEX(SuterWide!$B$2:$B$56,$K39),IF($B$12=147,INDEX(SuterWide!$D$2:$D$56,$K39),INDEX(SuterWide!$F$2:$F$56,$K39))))</f>
        <v/>
      </c>
      <c r="O39" s="9" t="str">
        <f>IF($K39="","",IF($B$12=25,INDEX(SuterWide!$B$2:$B$56,MIN($K39+1,ROWS(SuterWide!$A$2:$A$56))),IF($B$12=147,INDEX(SuterWide!$D$2:$D$56,MIN($K39+1,ROWS(SuterWide!$A$2:$A$56))),INDEX(SuterWide!$F$2:$F$56,MIN($K39+1,ROWS(SuterWide!$A$2:$A$56))))))</f>
        <v/>
      </c>
      <c r="P39" s="9" t="str">
        <f t="shared" si="3"/>
        <v/>
      </c>
      <c r="Q39" s="9" t="str">
        <f>IF($K39="","",IF($B$12=25,INDEX(SuterWide!$C$2:$C$56,$K39),IF($B$12=147,INDEX(SuterWide!$E$2:$E$56,$K39),INDEX(SuterWide!$G$2:$G$56,$K39))))</f>
        <v/>
      </c>
      <c r="R39" s="9" t="str">
        <f>IF($K39="","",IF($B$12=25,INDEX(SuterWide!$C$2:$C$56,MIN($K39+1,ROWS(SuterWide!$A$2:$A$56))),IF($B$12=147,INDEX(SuterWide!$E$2:$E$56,MIN($K39+1,ROWS(SuterWide!$A$2:$A$56))),INDEX(SuterWide!$G$2:$G$56,MIN($K39+1,ROWS(SuterWide!$A$2:$A$56))))))</f>
        <v/>
      </c>
      <c r="S39" s="9" t="str">
        <f t="shared" si="4"/>
        <v/>
      </c>
      <c r="T39" s="9" t="str">
        <f t="shared" si="5"/>
        <v/>
      </c>
      <c r="U39" s="9" t="str">
        <f t="shared" si="6"/>
        <v/>
      </c>
      <c r="V39" s="9" t="str">
        <f t="shared" si="7"/>
        <v/>
      </c>
      <c r="W39" s="9" t="str">
        <f t="shared" si="8"/>
        <v/>
      </c>
      <c r="X39" s="9" t="str">
        <f t="shared" si="9"/>
        <v/>
      </c>
      <c r="Y39" s="9" t="str">
        <f t="shared" si="10"/>
        <v/>
      </c>
      <c r="Z39" s="9" t="str">
        <f t="shared" si="11"/>
        <v/>
      </c>
    </row>
    <row r="40" spans="1:26" x14ac:dyDescent="0.3">
      <c r="A40" s="8">
        <v>19</v>
      </c>
      <c r="B40" s="8" t="str">
        <f>IFERROR(MATCH($B$2&amp;"|"&amp;A40,CatalogData!$G:$G,0),"")</f>
        <v/>
      </c>
      <c r="C40" s="9" t="str">
        <f>IF($B40="","",INDEX(CatalogData!$C:$C,$B40))</f>
        <v/>
      </c>
      <c r="D40" s="9" t="str">
        <f>IF($B40="","",INDEX(CatalogData!$D:$D,$B40))</f>
        <v/>
      </c>
      <c r="E40" s="9" t="str">
        <f>IF($B40="","",INDEX(CatalogData!$E:$E,$B40))</f>
        <v/>
      </c>
      <c r="F40" s="9" t="str">
        <f>IF($B40="","",INDEX(CatalogData!$F:$F,$B40))</f>
        <v/>
      </c>
      <c r="G40" s="9" t="str">
        <f t="shared" si="0"/>
        <v/>
      </c>
      <c r="H40" s="9" t="str">
        <f t="shared" si="13"/>
        <v/>
      </c>
      <c r="I40" s="9" t="str">
        <f t="shared" si="12"/>
        <v/>
      </c>
      <c r="J40" s="9" t="str">
        <f t="shared" si="2"/>
        <v/>
      </c>
      <c r="K40" s="8" t="str">
        <f>IF($B40="","",IFERROR(MATCH($H40,SuterWide!$A$2:$A$56,1),""))</f>
        <v/>
      </c>
      <c r="L40" s="9" t="str">
        <f>IF($K40="","",INDEX(SuterWide!$A$2:$A$56,$K40))</f>
        <v/>
      </c>
      <c r="M40" s="9" t="str">
        <f>IF($K40="","",INDEX(SuterWide!$A$2:$A$56,MIN($K40+1,ROWS(SuterWide!$A$2:$A$56))))</f>
        <v/>
      </c>
      <c r="N40" s="9" t="str">
        <f>IF($K40="","",IF($B$12=25,INDEX(SuterWide!$B$2:$B$56,$K40),IF($B$12=147,INDEX(SuterWide!$D$2:$D$56,$K40),INDEX(SuterWide!$F$2:$F$56,$K40))))</f>
        <v/>
      </c>
      <c r="O40" s="9" t="str">
        <f>IF($K40="","",IF($B$12=25,INDEX(SuterWide!$B$2:$B$56,MIN($K40+1,ROWS(SuterWide!$A$2:$A$56))),IF($B$12=147,INDEX(SuterWide!$D$2:$D$56,MIN($K40+1,ROWS(SuterWide!$A$2:$A$56))),INDEX(SuterWide!$F$2:$F$56,MIN($K40+1,ROWS(SuterWide!$A$2:$A$56))))))</f>
        <v/>
      </c>
      <c r="P40" s="9" t="str">
        <f t="shared" si="3"/>
        <v/>
      </c>
      <c r="Q40" s="9" t="str">
        <f>IF($K40="","",IF($B$12=25,INDEX(SuterWide!$C$2:$C$56,$K40),IF($B$12=147,INDEX(SuterWide!$E$2:$E$56,$K40),INDEX(SuterWide!$G$2:$G$56,$K40))))</f>
        <v/>
      </c>
      <c r="R40" s="9" t="str">
        <f>IF($K40="","",IF($B$12=25,INDEX(SuterWide!$C$2:$C$56,MIN($K40+1,ROWS(SuterWide!$A$2:$A$56))),IF($B$12=147,INDEX(SuterWide!$E$2:$E$56,MIN($K40+1,ROWS(SuterWide!$A$2:$A$56))),INDEX(SuterWide!$G$2:$G$56,MIN($K40+1,ROWS(SuterWide!$A$2:$A$56))))))</f>
        <v/>
      </c>
      <c r="S40" s="9" t="str">
        <f t="shared" si="4"/>
        <v/>
      </c>
      <c r="T40" s="9" t="str">
        <f t="shared" si="5"/>
        <v/>
      </c>
      <c r="U40" s="9" t="str">
        <f t="shared" si="6"/>
        <v/>
      </c>
      <c r="V40" s="9" t="str">
        <f t="shared" si="7"/>
        <v/>
      </c>
      <c r="W40" s="9" t="str">
        <f t="shared" si="8"/>
        <v/>
      </c>
      <c r="X40" s="9" t="str">
        <f t="shared" si="9"/>
        <v/>
      </c>
      <c r="Y40" s="9" t="str">
        <f t="shared" si="10"/>
        <v/>
      </c>
      <c r="Z40" s="9" t="str">
        <f t="shared" si="11"/>
        <v/>
      </c>
    </row>
    <row r="41" spans="1:26" x14ac:dyDescent="0.3">
      <c r="A41" s="8">
        <v>20</v>
      </c>
      <c r="B41" s="8" t="str">
        <f>IFERROR(MATCH($B$2&amp;"|"&amp;A41,CatalogData!$G:$G,0),"")</f>
        <v/>
      </c>
      <c r="C41" s="9" t="str">
        <f>IF($B41="","",INDEX(CatalogData!$C:$C,$B41))</f>
        <v/>
      </c>
      <c r="D41" s="9" t="str">
        <f>IF($B41="","",INDEX(CatalogData!$D:$D,$B41))</f>
        <v/>
      </c>
      <c r="E41" s="9" t="str">
        <f>IF($B41="","",INDEX(CatalogData!$E:$E,$B41))</f>
        <v/>
      </c>
      <c r="F41" s="9" t="str">
        <f>IF($B41="","",INDEX(CatalogData!$F:$F,$B41))</f>
        <v/>
      </c>
      <c r="G41" s="9" t="str">
        <f t="shared" si="0"/>
        <v/>
      </c>
      <c r="H41" s="9" t="str">
        <f t="shared" si="13"/>
        <v/>
      </c>
      <c r="I41" s="9" t="str">
        <f t="shared" si="12"/>
        <v/>
      </c>
      <c r="J41" s="9" t="str">
        <f t="shared" si="2"/>
        <v/>
      </c>
      <c r="K41" s="8" t="str">
        <f>IF($B41="","",IFERROR(MATCH($H41,SuterWide!$A$2:$A$56,1),""))</f>
        <v/>
      </c>
      <c r="L41" s="9" t="str">
        <f>IF($K41="","",INDEX(SuterWide!$A$2:$A$56,$K41))</f>
        <v/>
      </c>
      <c r="M41" s="9" t="str">
        <f>IF($K41="","",INDEX(SuterWide!$A$2:$A$56,MIN($K41+1,ROWS(SuterWide!$A$2:$A$56))))</f>
        <v/>
      </c>
      <c r="N41" s="9" t="str">
        <f>IF($K41="","",IF($B$12=25,INDEX(SuterWide!$B$2:$B$56,$K41),IF($B$12=147,INDEX(SuterWide!$D$2:$D$56,$K41),INDEX(SuterWide!$F$2:$F$56,$K41))))</f>
        <v/>
      </c>
      <c r="O41" s="9" t="str">
        <f>IF($K41="","",IF($B$12=25,INDEX(SuterWide!$B$2:$B$56,MIN($K41+1,ROWS(SuterWide!$A$2:$A$56))),IF($B$12=147,INDEX(SuterWide!$D$2:$D$56,MIN($K41+1,ROWS(SuterWide!$A$2:$A$56))),INDEX(SuterWide!$F$2:$F$56,MIN($K41+1,ROWS(SuterWide!$A$2:$A$56))))))</f>
        <v/>
      </c>
      <c r="P41" s="9" t="str">
        <f t="shared" si="3"/>
        <v/>
      </c>
      <c r="Q41" s="9" t="str">
        <f>IF($K41="","",IF($B$12=25,INDEX(SuterWide!$C$2:$C$56,$K41),IF($B$12=147,INDEX(SuterWide!$E$2:$E$56,$K41),INDEX(SuterWide!$G$2:$G$56,$K41))))</f>
        <v/>
      </c>
      <c r="R41" s="9" t="str">
        <f>IF($K41="","",IF($B$12=25,INDEX(SuterWide!$C$2:$C$56,MIN($K41+1,ROWS(SuterWide!$A$2:$A$56))),IF($B$12=147,INDEX(SuterWide!$E$2:$E$56,MIN($K41+1,ROWS(SuterWide!$A$2:$A$56))),INDEX(SuterWide!$G$2:$G$56,MIN($K41+1,ROWS(SuterWide!$A$2:$A$56))))))</f>
        <v/>
      </c>
      <c r="S41" s="9" t="str">
        <f t="shared" si="4"/>
        <v/>
      </c>
      <c r="T41" s="9" t="str">
        <f t="shared" si="5"/>
        <v/>
      </c>
      <c r="U41" s="9" t="str">
        <f t="shared" si="6"/>
        <v/>
      </c>
      <c r="V41" s="9" t="str">
        <f t="shared" si="7"/>
        <v/>
      </c>
      <c r="W41" s="9" t="str">
        <f t="shared" si="8"/>
        <v/>
      </c>
      <c r="X41" s="9" t="str">
        <f t="shared" si="9"/>
        <v/>
      </c>
      <c r="Y41" s="9" t="str">
        <f t="shared" si="10"/>
        <v/>
      </c>
      <c r="Z41" s="9" t="str">
        <f t="shared" si="11"/>
        <v/>
      </c>
    </row>
    <row r="42" spans="1:26" x14ac:dyDescent="0.3">
      <c r="A42" s="8">
        <v>21</v>
      </c>
      <c r="B42" s="8" t="str">
        <f>IFERROR(MATCH($B$2&amp;"|"&amp;A42,CatalogData!$G:$G,0),"")</f>
        <v/>
      </c>
      <c r="C42" s="9" t="str">
        <f>IF($B42="","",INDEX(CatalogData!$C:$C,$B42))</f>
        <v/>
      </c>
      <c r="D42" s="9" t="str">
        <f>IF($B42="","",INDEX(CatalogData!$D:$D,$B42))</f>
        <v/>
      </c>
      <c r="E42" s="9" t="str">
        <f>IF($B42="","",INDEX(CatalogData!$E:$E,$B42))</f>
        <v/>
      </c>
      <c r="F42" s="9" t="str">
        <f>IF($B42="","",INDEX(CatalogData!$F:$F,$B42))</f>
        <v/>
      </c>
      <c r="G42" s="9" t="str">
        <f t="shared" si="0"/>
        <v/>
      </c>
      <c r="H42" s="9" t="str">
        <f t="shared" si="13"/>
        <v/>
      </c>
      <c r="I42" s="9" t="str">
        <f t="shared" si="12"/>
        <v/>
      </c>
      <c r="J42" s="9" t="str">
        <f t="shared" si="2"/>
        <v/>
      </c>
      <c r="K42" s="8" t="str">
        <f>IF($B42="","",IFERROR(MATCH($H42,SuterWide!$A$2:$A$56,1),""))</f>
        <v/>
      </c>
      <c r="L42" s="9" t="str">
        <f>IF($K42="","",INDEX(SuterWide!$A$2:$A$56,$K42))</f>
        <v/>
      </c>
      <c r="M42" s="9" t="str">
        <f>IF($K42="","",INDEX(SuterWide!$A$2:$A$56,MIN($K42+1,ROWS(SuterWide!$A$2:$A$56))))</f>
        <v/>
      </c>
      <c r="N42" s="9" t="str">
        <f>IF($K42="","",IF($B$12=25,INDEX(SuterWide!$B$2:$B$56,$K42),IF($B$12=147,INDEX(SuterWide!$D$2:$D$56,$K42),INDEX(SuterWide!$F$2:$F$56,$K42))))</f>
        <v/>
      </c>
      <c r="O42" s="9" t="str">
        <f>IF($K42="","",IF($B$12=25,INDEX(SuterWide!$B$2:$B$56,MIN($K42+1,ROWS(SuterWide!$A$2:$A$56))),IF($B$12=147,INDEX(SuterWide!$D$2:$D$56,MIN($K42+1,ROWS(SuterWide!$A$2:$A$56))),INDEX(SuterWide!$F$2:$F$56,MIN($K42+1,ROWS(SuterWide!$A$2:$A$56))))))</f>
        <v/>
      </c>
      <c r="P42" s="9" t="str">
        <f t="shared" si="3"/>
        <v/>
      </c>
      <c r="Q42" s="9" t="str">
        <f>IF($K42="","",IF($B$12=25,INDEX(SuterWide!$C$2:$C$56,$K42),IF($B$12=147,INDEX(SuterWide!$E$2:$E$56,$K42),INDEX(SuterWide!$G$2:$G$56,$K42))))</f>
        <v/>
      </c>
      <c r="R42" s="9" t="str">
        <f>IF($K42="","",IF($B$12=25,INDEX(SuterWide!$C$2:$C$56,MIN($K42+1,ROWS(SuterWide!$A$2:$A$56))),IF($B$12=147,INDEX(SuterWide!$E$2:$E$56,MIN($K42+1,ROWS(SuterWide!$A$2:$A$56))),INDEX(SuterWide!$G$2:$G$56,MIN($K42+1,ROWS(SuterWide!$A$2:$A$56))))))</f>
        <v/>
      </c>
      <c r="S42" s="9" t="str">
        <f t="shared" si="4"/>
        <v/>
      </c>
      <c r="T42" s="9" t="str">
        <f t="shared" si="5"/>
        <v/>
      </c>
      <c r="U42" s="9" t="str">
        <f t="shared" si="6"/>
        <v/>
      </c>
      <c r="V42" s="9" t="str">
        <f t="shared" si="7"/>
        <v/>
      </c>
      <c r="W42" s="9" t="str">
        <f t="shared" si="8"/>
        <v/>
      </c>
      <c r="X42" s="9" t="str">
        <f t="shared" si="9"/>
        <v/>
      </c>
      <c r="Y42" s="9" t="str">
        <f t="shared" si="10"/>
        <v/>
      </c>
      <c r="Z42" s="9" t="str">
        <f t="shared" si="11"/>
        <v/>
      </c>
    </row>
    <row r="43" spans="1:26" x14ac:dyDescent="0.3">
      <c r="A43" s="8">
        <v>22</v>
      </c>
      <c r="B43" s="8" t="str">
        <f>IFERROR(MATCH($B$2&amp;"|"&amp;A43,CatalogData!$G:$G,0),"")</f>
        <v/>
      </c>
      <c r="C43" s="9" t="str">
        <f>IF($B43="","",INDEX(CatalogData!$C:$C,$B43))</f>
        <v/>
      </c>
      <c r="D43" s="9" t="str">
        <f>IF($B43="","",INDEX(CatalogData!$D:$D,$B43))</f>
        <v/>
      </c>
      <c r="E43" s="9" t="str">
        <f>IF($B43="","",INDEX(CatalogData!$E:$E,$B43))</f>
        <v/>
      </c>
      <c r="F43" s="9" t="str">
        <f>IF($B43="","",INDEX(CatalogData!$F:$F,$B43))</f>
        <v/>
      </c>
      <c r="G43" s="9" t="str">
        <f t="shared" si="0"/>
        <v/>
      </c>
      <c r="H43" s="9" t="str">
        <f t="shared" si="13"/>
        <v/>
      </c>
      <c r="I43" s="9" t="str">
        <f t="shared" si="12"/>
        <v/>
      </c>
      <c r="J43" s="9" t="str">
        <f t="shared" si="2"/>
        <v/>
      </c>
      <c r="K43" s="8" t="str">
        <f>IF($B43="","",IFERROR(MATCH($H43,SuterWide!$A$2:$A$56,1),""))</f>
        <v/>
      </c>
      <c r="L43" s="9" t="str">
        <f>IF($K43="","",INDEX(SuterWide!$A$2:$A$56,$K43))</f>
        <v/>
      </c>
      <c r="M43" s="9" t="str">
        <f>IF($K43="","",INDEX(SuterWide!$A$2:$A$56,MIN($K43+1,ROWS(SuterWide!$A$2:$A$56))))</f>
        <v/>
      </c>
      <c r="N43" s="9" t="str">
        <f>IF($K43="","",IF($B$12=25,INDEX(SuterWide!$B$2:$B$56,$K43),IF($B$12=147,INDEX(SuterWide!$D$2:$D$56,$K43),INDEX(SuterWide!$F$2:$F$56,$K43))))</f>
        <v/>
      </c>
      <c r="O43" s="9" t="str">
        <f>IF($K43="","",IF($B$12=25,INDEX(SuterWide!$B$2:$B$56,MIN($K43+1,ROWS(SuterWide!$A$2:$A$56))),IF($B$12=147,INDEX(SuterWide!$D$2:$D$56,MIN($K43+1,ROWS(SuterWide!$A$2:$A$56))),INDEX(SuterWide!$F$2:$F$56,MIN($K43+1,ROWS(SuterWide!$A$2:$A$56))))))</f>
        <v/>
      </c>
      <c r="P43" s="9" t="str">
        <f t="shared" si="3"/>
        <v/>
      </c>
      <c r="Q43" s="9" t="str">
        <f>IF($K43="","",IF($B$12=25,INDEX(SuterWide!$C$2:$C$56,$K43),IF($B$12=147,INDEX(SuterWide!$E$2:$E$56,$K43),INDEX(SuterWide!$G$2:$G$56,$K43))))</f>
        <v/>
      </c>
      <c r="R43" s="9" t="str">
        <f>IF($K43="","",IF($B$12=25,INDEX(SuterWide!$C$2:$C$56,MIN($K43+1,ROWS(SuterWide!$A$2:$A$56))),IF($B$12=147,INDEX(SuterWide!$E$2:$E$56,MIN($K43+1,ROWS(SuterWide!$A$2:$A$56))),INDEX(SuterWide!$G$2:$G$56,MIN($K43+1,ROWS(SuterWide!$A$2:$A$56))))))</f>
        <v/>
      </c>
      <c r="S43" s="9" t="str">
        <f t="shared" si="4"/>
        <v/>
      </c>
      <c r="T43" s="9" t="str">
        <f t="shared" si="5"/>
        <v/>
      </c>
      <c r="U43" s="9" t="str">
        <f t="shared" si="6"/>
        <v/>
      </c>
      <c r="V43" s="9" t="str">
        <f t="shared" si="7"/>
        <v/>
      </c>
      <c r="W43" s="9" t="str">
        <f t="shared" si="8"/>
        <v/>
      </c>
      <c r="X43" s="9" t="str">
        <f t="shared" si="9"/>
        <v/>
      </c>
      <c r="Y43" s="9" t="str">
        <f t="shared" si="10"/>
        <v/>
      </c>
      <c r="Z43" s="9" t="str">
        <f t="shared" si="11"/>
        <v/>
      </c>
    </row>
    <row r="44" spans="1:26" x14ac:dyDescent="0.3">
      <c r="A44" s="8">
        <v>23</v>
      </c>
      <c r="B44" s="8" t="str">
        <f>IFERROR(MATCH($B$2&amp;"|"&amp;A44,CatalogData!$G:$G,0),"")</f>
        <v/>
      </c>
      <c r="C44" s="9" t="str">
        <f>IF($B44="","",INDEX(CatalogData!$C:$C,$B44))</f>
        <v/>
      </c>
      <c r="D44" s="9" t="str">
        <f>IF($B44="","",INDEX(CatalogData!$D:$D,$B44))</f>
        <v/>
      </c>
      <c r="E44" s="9" t="str">
        <f>IF($B44="","",INDEX(CatalogData!$E:$E,$B44))</f>
        <v/>
      </c>
      <c r="F44" s="9" t="str">
        <f>IF($B44="","",INDEX(CatalogData!$F:$F,$B44))</f>
        <v/>
      </c>
      <c r="G44" s="9" t="str">
        <f t="shared" si="0"/>
        <v/>
      </c>
      <c r="H44" s="9" t="str">
        <f t="shared" si="13"/>
        <v/>
      </c>
      <c r="I44" s="9" t="str">
        <f t="shared" si="12"/>
        <v/>
      </c>
      <c r="J44" s="9" t="str">
        <f t="shared" si="2"/>
        <v/>
      </c>
      <c r="K44" s="8" t="str">
        <f>IF($B44="","",IFERROR(MATCH($H44,SuterWide!$A$2:$A$56,1),""))</f>
        <v/>
      </c>
      <c r="L44" s="9" t="str">
        <f>IF($K44="","",INDEX(SuterWide!$A$2:$A$56,$K44))</f>
        <v/>
      </c>
      <c r="M44" s="9" t="str">
        <f>IF($K44="","",INDEX(SuterWide!$A$2:$A$56,MIN($K44+1,ROWS(SuterWide!$A$2:$A$56))))</f>
        <v/>
      </c>
      <c r="N44" s="9" t="str">
        <f>IF($K44="","",IF($B$12=25,INDEX(SuterWide!$B$2:$B$56,$K44),IF($B$12=147,INDEX(SuterWide!$D$2:$D$56,$K44),INDEX(SuterWide!$F$2:$F$56,$K44))))</f>
        <v/>
      </c>
      <c r="O44" s="9" t="str">
        <f>IF($K44="","",IF($B$12=25,INDEX(SuterWide!$B$2:$B$56,MIN($K44+1,ROWS(SuterWide!$A$2:$A$56))),IF($B$12=147,INDEX(SuterWide!$D$2:$D$56,MIN($K44+1,ROWS(SuterWide!$A$2:$A$56))),INDEX(SuterWide!$F$2:$F$56,MIN($K44+1,ROWS(SuterWide!$A$2:$A$56))))))</f>
        <v/>
      </c>
      <c r="P44" s="9" t="str">
        <f t="shared" si="3"/>
        <v/>
      </c>
      <c r="Q44" s="9" t="str">
        <f>IF($K44="","",IF($B$12=25,INDEX(SuterWide!$C$2:$C$56,$K44),IF($B$12=147,INDEX(SuterWide!$E$2:$E$56,$K44),INDEX(SuterWide!$G$2:$G$56,$K44))))</f>
        <v/>
      </c>
      <c r="R44" s="9" t="str">
        <f>IF($K44="","",IF($B$12=25,INDEX(SuterWide!$C$2:$C$56,MIN($K44+1,ROWS(SuterWide!$A$2:$A$56))),IF($B$12=147,INDEX(SuterWide!$E$2:$E$56,MIN($K44+1,ROWS(SuterWide!$A$2:$A$56))),INDEX(SuterWide!$G$2:$G$56,MIN($K44+1,ROWS(SuterWide!$A$2:$A$56))))))</f>
        <v/>
      </c>
      <c r="S44" s="9" t="str">
        <f t="shared" si="4"/>
        <v/>
      </c>
      <c r="T44" s="9" t="str">
        <f t="shared" si="5"/>
        <v/>
      </c>
      <c r="U44" s="9" t="str">
        <f t="shared" si="6"/>
        <v/>
      </c>
      <c r="V44" s="9" t="str">
        <f t="shared" si="7"/>
        <v/>
      </c>
      <c r="W44" s="9" t="str">
        <f t="shared" si="8"/>
        <v/>
      </c>
      <c r="X44" s="9" t="str">
        <f t="shared" si="9"/>
        <v/>
      </c>
      <c r="Y44" s="9" t="str">
        <f t="shared" si="10"/>
        <v/>
      </c>
      <c r="Z44" s="9" t="str">
        <f t="shared" si="11"/>
        <v/>
      </c>
    </row>
    <row r="45" spans="1:26" x14ac:dyDescent="0.3">
      <c r="A45" s="8">
        <v>24</v>
      </c>
      <c r="B45" s="8" t="str">
        <f>IFERROR(MATCH($B$2&amp;"|"&amp;A45,CatalogData!$G:$G,0),"")</f>
        <v/>
      </c>
      <c r="C45" s="9" t="str">
        <f>IF($B45="","",INDEX(CatalogData!$C:$C,$B45))</f>
        <v/>
      </c>
      <c r="D45" s="9" t="str">
        <f>IF($B45="","",INDEX(CatalogData!$D:$D,$B45))</f>
        <v/>
      </c>
      <c r="E45" s="9" t="str">
        <f>IF($B45="","",INDEX(CatalogData!$E:$E,$B45))</f>
        <v/>
      </c>
      <c r="F45" s="9" t="str">
        <f>IF($B45="","",INDEX(CatalogData!$F:$F,$B45))</f>
        <v/>
      </c>
      <c r="G45" s="9" t="str">
        <f t="shared" si="0"/>
        <v/>
      </c>
      <c r="H45" s="9" t="str">
        <f t="shared" si="13"/>
        <v/>
      </c>
      <c r="I45" s="9" t="str">
        <f t="shared" si="12"/>
        <v/>
      </c>
      <c r="J45" s="9" t="str">
        <f t="shared" si="2"/>
        <v/>
      </c>
      <c r="K45" s="8" t="str">
        <f>IF($B45="","",IFERROR(MATCH($H45,SuterWide!$A$2:$A$56,1),""))</f>
        <v/>
      </c>
      <c r="L45" s="9" t="str">
        <f>IF($K45="","",INDEX(SuterWide!$A$2:$A$56,$K45))</f>
        <v/>
      </c>
      <c r="M45" s="9" t="str">
        <f>IF($K45="","",INDEX(SuterWide!$A$2:$A$56,MIN($K45+1,ROWS(SuterWide!$A$2:$A$56))))</f>
        <v/>
      </c>
      <c r="N45" s="9" t="str">
        <f>IF($K45="","",IF($B$12=25,INDEX(SuterWide!$B$2:$B$56,$K45),IF($B$12=147,INDEX(SuterWide!$D$2:$D$56,$K45),INDEX(SuterWide!$F$2:$F$56,$K45))))</f>
        <v/>
      </c>
      <c r="O45" s="9" t="str">
        <f>IF($K45="","",IF($B$12=25,INDEX(SuterWide!$B$2:$B$56,MIN($K45+1,ROWS(SuterWide!$A$2:$A$56))),IF($B$12=147,INDEX(SuterWide!$D$2:$D$56,MIN($K45+1,ROWS(SuterWide!$A$2:$A$56))),INDEX(SuterWide!$F$2:$F$56,MIN($K45+1,ROWS(SuterWide!$A$2:$A$56))))))</f>
        <v/>
      </c>
      <c r="P45" s="9" t="str">
        <f t="shared" si="3"/>
        <v/>
      </c>
      <c r="Q45" s="9" t="str">
        <f>IF($K45="","",IF($B$12=25,INDEX(SuterWide!$C$2:$C$56,$K45),IF($B$12=147,INDEX(SuterWide!$E$2:$E$56,$K45),INDEX(SuterWide!$G$2:$G$56,$K45))))</f>
        <v/>
      </c>
      <c r="R45" s="9" t="str">
        <f>IF($K45="","",IF($B$12=25,INDEX(SuterWide!$C$2:$C$56,MIN($K45+1,ROWS(SuterWide!$A$2:$A$56))),IF($B$12=147,INDEX(SuterWide!$E$2:$E$56,MIN($K45+1,ROWS(SuterWide!$A$2:$A$56))),INDEX(SuterWide!$G$2:$G$56,MIN($K45+1,ROWS(SuterWide!$A$2:$A$56))))))</f>
        <v/>
      </c>
      <c r="S45" s="9" t="str">
        <f t="shared" si="4"/>
        <v/>
      </c>
      <c r="T45" s="9" t="str">
        <f t="shared" si="5"/>
        <v/>
      </c>
      <c r="U45" s="9" t="str">
        <f t="shared" si="6"/>
        <v/>
      </c>
      <c r="V45" s="9" t="str">
        <f t="shared" si="7"/>
        <v/>
      </c>
      <c r="W45" s="9" t="str">
        <f t="shared" si="8"/>
        <v/>
      </c>
      <c r="X45" s="9" t="str">
        <f t="shared" si="9"/>
        <v/>
      </c>
      <c r="Y45" s="9" t="str">
        <f t="shared" si="10"/>
        <v/>
      </c>
      <c r="Z45" s="9" t="str">
        <f t="shared" si="11"/>
        <v/>
      </c>
    </row>
    <row r="46" spans="1:26" x14ac:dyDescent="0.3">
      <c r="A46" s="8">
        <v>25</v>
      </c>
      <c r="B46" s="8" t="str">
        <f>IFERROR(MATCH($B$2&amp;"|"&amp;A46,CatalogData!$G:$G,0),"")</f>
        <v/>
      </c>
      <c r="C46" s="9" t="str">
        <f>IF($B46="","",INDEX(CatalogData!$C:$C,$B46))</f>
        <v/>
      </c>
      <c r="D46" s="9" t="str">
        <f>IF($B46="","",INDEX(CatalogData!$D:$D,$B46))</f>
        <v/>
      </c>
      <c r="E46" s="9" t="str">
        <f>IF($B46="","",INDEX(CatalogData!$E:$E,$B46))</f>
        <v/>
      </c>
      <c r="F46" s="9" t="str">
        <f>IF($B46="","",INDEX(CatalogData!$F:$F,$B46))</f>
        <v/>
      </c>
      <c r="G46" s="9" t="str">
        <f t="shared" si="0"/>
        <v/>
      </c>
      <c r="H46" s="9" t="str">
        <f t="shared" si="13"/>
        <v/>
      </c>
      <c r="I46" s="9" t="str">
        <f t="shared" si="12"/>
        <v/>
      </c>
      <c r="J46" s="9" t="str">
        <f t="shared" si="2"/>
        <v/>
      </c>
      <c r="K46" s="8" t="str">
        <f>IF($B46="","",IFERROR(MATCH($H46,SuterWide!$A$2:$A$56,1),""))</f>
        <v/>
      </c>
      <c r="L46" s="9" t="str">
        <f>IF($K46="","",INDEX(SuterWide!$A$2:$A$56,$K46))</f>
        <v/>
      </c>
      <c r="M46" s="9" t="str">
        <f>IF($K46="","",INDEX(SuterWide!$A$2:$A$56,MIN($K46+1,ROWS(SuterWide!$A$2:$A$56))))</f>
        <v/>
      </c>
      <c r="N46" s="9" t="str">
        <f>IF($K46="","",IF($B$12=25,INDEX(SuterWide!$B$2:$B$56,$K46),IF($B$12=147,INDEX(SuterWide!$D$2:$D$56,$K46),INDEX(SuterWide!$F$2:$F$56,$K46))))</f>
        <v/>
      </c>
      <c r="O46" s="9" t="str">
        <f>IF($K46="","",IF($B$12=25,INDEX(SuterWide!$B$2:$B$56,MIN($K46+1,ROWS(SuterWide!$A$2:$A$56))),IF($B$12=147,INDEX(SuterWide!$D$2:$D$56,MIN($K46+1,ROWS(SuterWide!$A$2:$A$56))),INDEX(SuterWide!$F$2:$F$56,MIN($K46+1,ROWS(SuterWide!$A$2:$A$56))))))</f>
        <v/>
      </c>
      <c r="P46" s="9" t="str">
        <f t="shared" si="3"/>
        <v/>
      </c>
      <c r="Q46" s="9" t="str">
        <f>IF($K46="","",IF($B$12=25,INDEX(SuterWide!$C$2:$C$56,$K46),IF($B$12=147,INDEX(SuterWide!$E$2:$E$56,$K46),INDEX(SuterWide!$G$2:$G$56,$K46))))</f>
        <v/>
      </c>
      <c r="R46" s="9" t="str">
        <f>IF($K46="","",IF($B$12=25,INDEX(SuterWide!$C$2:$C$56,MIN($K46+1,ROWS(SuterWide!$A$2:$A$56))),IF($B$12=147,INDEX(SuterWide!$E$2:$E$56,MIN($K46+1,ROWS(SuterWide!$A$2:$A$56))),INDEX(SuterWide!$G$2:$G$56,MIN($K46+1,ROWS(SuterWide!$A$2:$A$56))))))</f>
        <v/>
      </c>
      <c r="S46" s="9" t="str">
        <f t="shared" si="4"/>
        <v/>
      </c>
      <c r="T46" s="9" t="str">
        <f t="shared" si="5"/>
        <v/>
      </c>
      <c r="U46" s="9" t="str">
        <f t="shared" si="6"/>
        <v/>
      </c>
      <c r="V46" s="9" t="str">
        <f t="shared" si="7"/>
        <v/>
      </c>
      <c r="W46" s="9" t="str">
        <f t="shared" si="8"/>
        <v/>
      </c>
      <c r="X46" s="9" t="str">
        <f t="shared" si="9"/>
        <v/>
      </c>
      <c r="Y46" s="9" t="str">
        <f t="shared" si="10"/>
        <v/>
      </c>
      <c r="Z46" s="9" t="str">
        <f t="shared" si="11"/>
        <v/>
      </c>
    </row>
    <row r="47" spans="1:26" x14ac:dyDescent="0.3">
      <c r="A47" s="8">
        <v>26</v>
      </c>
      <c r="B47" s="8" t="str">
        <f>IFERROR(MATCH($B$2&amp;"|"&amp;A47,CatalogData!$G:$G,0),"")</f>
        <v/>
      </c>
      <c r="C47" s="9" t="str">
        <f>IF($B47="","",INDEX(CatalogData!$C:$C,$B47))</f>
        <v/>
      </c>
      <c r="D47" s="9" t="str">
        <f>IF($B47="","",INDEX(CatalogData!$D:$D,$B47))</f>
        <v/>
      </c>
      <c r="E47" s="9" t="str">
        <f>IF($B47="","",INDEX(CatalogData!$E:$E,$B47))</f>
        <v/>
      </c>
      <c r="F47" s="9" t="str">
        <f>IF($B47="","",INDEX(CatalogData!$F:$F,$B47))</f>
        <v/>
      </c>
      <c r="G47" s="9" t="str">
        <f t="shared" si="0"/>
        <v/>
      </c>
      <c r="H47" s="9" t="str">
        <f t="shared" si="13"/>
        <v/>
      </c>
      <c r="I47" s="9" t="str">
        <f t="shared" si="12"/>
        <v/>
      </c>
      <c r="J47" s="9" t="str">
        <f t="shared" si="2"/>
        <v/>
      </c>
      <c r="K47" s="8" t="str">
        <f>IF($B47="","",IFERROR(MATCH($H47,SuterWide!$A$2:$A$56,1),""))</f>
        <v/>
      </c>
      <c r="L47" s="9" t="str">
        <f>IF($K47="","",INDEX(SuterWide!$A$2:$A$56,$K47))</f>
        <v/>
      </c>
      <c r="M47" s="9" t="str">
        <f>IF($K47="","",INDEX(SuterWide!$A$2:$A$56,MIN($K47+1,ROWS(SuterWide!$A$2:$A$56))))</f>
        <v/>
      </c>
      <c r="N47" s="9" t="str">
        <f>IF($K47="","",IF($B$12=25,INDEX(SuterWide!$B$2:$B$56,$K47),IF($B$12=147,INDEX(SuterWide!$D$2:$D$56,$K47),INDEX(SuterWide!$F$2:$F$56,$K47))))</f>
        <v/>
      </c>
      <c r="O47" s="9" t="str">
        <f>IF($K47="","",IF($B$12=25,INDEX(SuterWide!$B$2:$B$56,MIN($K47+1,ROWS(SuterWide!$A$2:$A$56))),IF($B$12=147,INDEX(SuterWide!$D$2:$D$56,MIN($K47+1,ROWS(SuterWide!$A$2:$A$56))),INDEX(SuterWide!$F$2:$F$56,MIN($K47+1,ROWS(SuterWide!$A$2:$A$56))))))</f>
        <v/>
      </c>
      <c r="P47" s="9" t="str">
        <f t="shared" si="3"/>
        <v/>
      </c>
      <c r="Q47" s="9" t="str">
        <f>IF($K47="","",IF($B$12=25,INDEX(SuterWide!$C$2:$C$56,$K47),IF($B$12=147,INDEX(SuterWide!$E$2:$E$56,$K47),INDEX(SuterWide!$G$2:$G$56,$K47))))</f>
        <v/>
      </c>
      <c r="R47" s="9" t="str">
        <f>IF($K47="","",IF($B$12=25,INDEX(SuterWide!$C$2:$C$56,MIN($K47+1,ROWS(SuterWide!$A$2:$A$56))),IF($B$12=147,INDEX(SuterWide!$E$2:$E$56,MIN($K47+1,ROWS(SuterWide!$A$2:$A$56))),INDEX(SuterWide!$G$2:$G$56,MIN($K47+1,ROWS(SuterWide!$A$2:$A$56))))))</f>
        <v/>
      </c>
      <c r="S47" s="9" t="str">
        <f t="shared" si="4"/>
        <v/>
      </c>
      <c r="T47" s="9" t="str">
        <f t="shared" si="5"/>
        <v/>
      </c>
      <c r="U47" s="9" t="str">
        <f t="shared" si="6"/>
        <v/>
      </c>
      <c r="V47" s="9" t="str">
        <f t="shared" si="7"/>
        <v/>
      </c>
      <c r="W47" s="9" t="str">
        <f t="shared" si="8"/>
        <v/>
      </c>
      <c r="X47" s="9" t="str">
        <f t="shared" si="9"/>
        <v/>
      </c>
      <c r="Y47" s="9" t="str">
        <f t="shared" si="10"/>
        <v/>
      </c>
      <c r="Z47" s="9" t="str">
        <f t="shared" si="11"/>
        <v/>
      </c>
    </row>
    <row r="48" spans="1:26" x14ac:dyDescent="0.3">
      <c r="A48" s="8">
        <v>27</v>
      </c>
      <c r="B48" s="8" t="str">
        <f>IFERROR(MATCH($B$2&amp;"|"&amp;A48,CatalogData!$G:$G,0),"")</f>
        <v/>
      </c>
      <c r="C48" s="9" t="str">
        <f>IF($B48="","",INDEX(CatalogData!$C:$C,$B48))</f>
        <v/>
      </c>
      <c r="D48" s="9" t="str">
        <f>IF($B48="","",INDEX(CatalogData!$D:$D,$B48))</f>
        <v/>
      </c>
      <c r="E48" s="9" t="str">
        <f>IF($B48="","",INDEX(CatalogData!$E:$E,$B48))</f>
        <v/>
      </c>
      <c r="F48" s="9" t="str">
        <f>IF($B48="","",INDEX(CatalogData!$F:$F,$B48))</f>
        <v/>
      </c>
      <c r="G48" s="9" t="str">
        <f t="shared" si="0"/>
        <v/>
      </c>
      <c r="H48" s="9" t="str">
        <f t="shared" si="13"/>
        <v/>
      </c>
      <c r="I48" s="9" t="str">
        <f t="shared" si="12"/>
        <v/>
      </c>
      <c r="J48" s="9" t="str">
        <f t="shared" si="2"/>
        <v/>
      </c>
      <c r="K48" s="8" t="str">
        <f>IF($B48="","",IFERROR(MATCH($H48,SuterWide!$A$2:$A$56,1),""))</f>
        <v/>
      </c>
      <c r="L48" s="9" t="str">
        <f>IF($K48="","",INDEX(SuterWide!$A$2:$A$56,$K48))</f>
        <v/>
      </c>
      <c r="M48" s="9" t="str">
        <f>IF($K48="","",INDEX(SuterWide!$A$2:$A$56,MIN($K48+1,ROWS(SuterWide!$A$2:$A$56))))</f>
        <v/>
      </c>
      <c r="N48" s="9" t="str">
        <f>IF($K48="","",IF($B$12=25,INDEX(SuterWide!$B$2:$B$56,$K48),IF($B$12=147,INDEX(SuterWide!$D$2:$D$56,$K48),INDEX(SuterWide!$F$2:$F$56,$K48))))</f>
        <v/>
      </c>
      <c r="O48" s="9" t="str">
        <f>IF($K48="","",IF($B$12=25,INDEX(SuterWide!$B$2:$B$56,MIN($K48+1,ROWS(SuterWide!$A$2:$A$56))),IF($B$12=147,INDEX(SuterWide!$D$2:$D$56,MIN($K48+1,ROWS(SuterWide!$A$2:$A$56))),INDEX(SuterWide!$F$2:$F$56,MIN($K48+1,ROWS(SuterWide!$A$2:$A$56))))))</f>
        <v/>
      </c>
      <c r="P48" s="9" t="str">
        <f t="shared" si="3"/>
        <v/>
      </c>
      <c r="Q48" s="9" t="str">
        <f>IF($K48="","",IF($B$12=25,INDEX(SuterWide!$C$2:$C$56,$K48),IF($B$12=147,INDEX(SuterWide!$E$2:$E$56,$K48),INDEX(SuterWide!$G$2:$G$56,$K48))))</f>
        <v/>
      </c>
      <c r="R48" s="9" t="str">
        <f>IF($K48="","",IF($B$12=25,INDEX(SuterWide!$C$2:$C$56,MIN($K48+1,ROWS(SuterWide!$A$2:$A$56))),IF($B$12=147,INDEX(SuterWide!$E$2:$E$56,MIN($K48+1,ROWS(SuterWide!$A$2:$A$56))),INDEX(SuterWide!$G$2:$G$56,MIN($K48+1,ROWS(SuterWide!$A$2:$A$56))))))</f>
        <v/>
      </c>
      <c r="S48" s="9" t="str">
        <f t="shared" si="4"/>
        <v/>
      </c>
      <c r="T48" s="9" t="str">
        <f t="shared" si="5"/>
        <v/>
      </c>
      <c r="U48" s="9" t="str">
        <f t="shared" si="6"/>
        <v/>
      </c>
      <c r="V48" s="9" t="str">
        <f t="shared" si="7"/>
        <v/>
      </c>
      <c r="W48" s="9" t="str">
        <f t="shared" si="8"/>
        <v/>
      </c>
      <c r="X48" s="9" t="str">
        <f t="shared" si="9"/>
        <v/>
      </c>
      <c r="Y48" s="9" t="str">
        <f t="shared" si="10"/>
        <v/>
      </c>
      <c r="Z48" s="9" t="str">
        <f t="shared" si="11"/>
        <v/>
      </c>
    </row>
    <row r="49" spans="1:26" x14ac:dyDescent="0.3">
      <c r="A49" s="8">
        <v>28</v>
      </c>
      <c r="B49" s="8" t="str">
        <f>IFERROR(MATCH($B$2&amp;"|"&amp;A49,CatalogData!$G:$G,0),"")</f>
        <v/>
      </c>
      <c r="C49" s="9" t="str">
        <f>IF($B49="","",INDEX(CatalogData!$C:$C,$B49))</f>
        <v/>
      </c>
      <c r="D49" s="9" t="str">
        <f>IF($B49="","",INDEX(CatalogData!$D:$D,$B49))</f>
        <v/>
      </c>
      <c r="E49" s="9" t="str">
        <f>IF($B49="","",INDEX(CatalogData!$E:$E,$B49))</f>
        <v/>
      </c>
      <c r="F49" s="9" t="str">
        <f>IF($B49="","",INDEX(CatalogData!$F:$F,$B49))</f>
        <v/>
      </c>
      <c r="G49" s="9" t="str">
        <f t="shared" si="0"/>
        <v/>
      </c>
      <c r="H49" s="9" t="str">
        <f t="shared" si="13"/>
        <v/>
      </c>
      <c r="I49" s="9" t="str">
        <f t="shared" si="12"/>
        <v/>
      </c>
      <c r="J49" s="9" t="str">
        <f t="shared" si="2"/>
        <v/>
      </c>
      <c r="K49" s="8" t="str">
        <f>IF($B49="","",IFERROR(MATCH($H49,SuterWide!$A$2:$A$56,1),""))</f>
        <v/>
      </c>
      <c r="L49" s="9" t="str">
        <f>IF($K49="","",INDEX(SuterWide!$A$2:$A$56,$K49))</f>
        <v/>
      </c>
      <c r="M49" s="9" t="str">
        <f>IF($K49="","",INDEX(SuterWide!$A$2:$A$56,MIN($K49+1,ROWS(SuterWide!$A$2:$A$56))))</f>
        <v/>
      </c>
      <c r="N49" s="9" t="str">
        <f>IF($K49="","",IF($B$12=25,INDEX(SuterWide!$B$2:$B$56,$K49),IF($B$12=147,INDEX(SuterWide!$D$2:$D$56,$K49),INDEX(SuterWide!$F$2:$F$56,$K49))))</f>
        <v/>
      </c>
      <c r="O49" s="9" t="str">
        <f>IF($K49="","",IF($B$12=25,INDEX(SuterWide!$B$2:$B$56,MIN($K49+1,ROWS(SuterWide!$A$2:$A$56))),IF($B$12=147,INDEX(SuterWide!$D$2:$D$56,MIN($K49+1,ROWS(SuterWide!$A$2:$A$56))),INDEX(SuterWide!$F$2:$F$56,MIN($K49+1,ROWS(SuterWide!$A$2:$A$56))))))</f>
        <v/>
      </c>
      <c r="P49" s="9" t="str">
        <f t="shared" si="3"/>
        <v/>
      </c>
      <c r="Q49" s="9" t="str">
        <f>IF($K49="","",IF($B$12=25,INDEX(SuterWide!$C$2:$C$56,$K49),IF($B$12=147,INDEX(SuterWide!$E$2:$E$56,$K49),INDEX(SuterWide!$G$2:$G$56,$K49))))</f>
        <v/>
      </c>
      <c r="R49" s="9" t="str">
        <f>IF($K49="","",IF($B$12=25,INDEX(SuterWide!$C$2:$C$56,MIN($K49+1,ROWS(SuterWide!$A$2:$A$56))),IF($B$12=147,INDEX(SuterWide!$E$2:$E$56,MIN($K49+1,ROWS(SuterWide!$A$2:$A$56))),INDEX(SuterWide!$G$2:$G$56,MIN($K49+1,ROWS(SuterWide!$A$2:$A$56))))))</f>
        <v/>
      </c>
      <c r="S49" s="9" t="str">
        <f t="shared" si="4"/>
        <v/>
      </c>
      <c r="T49" s="9" t="str">
        <f t="shared" si="5"/>
        <v/>
      </c>
      <c r="U49" s="9" t="str">
        <f t="shared" si="6"/>
        <v/>
      </c>
      <c r="V49" s="9" t="str">
        <f t="shared" si="7"/>
        <v/>
      </c>
      <c r="W49" s="9" t="str">
        <f t="shared" si="8"/>
        <v/>
      </c>
      <c r="X49" s="9" t="str">
        <f t="shared" si="9"/>
        <v/>
      </c>
      <c r="Y49" s="9" t="str">
        <f t="shared" si="10"/>
        <v/>
      </c>
      <c r="Z49" s="9" t="str">
        <f t="shared" si="11"/>
        <v/>
      </c>
    </row>
    <row r="50" spans="1:26" x14ac:dyDescent="0.3">
      <c r="A50" s="8">
        <v>29</v>
      </c>
      <c r="B50" s="8" t="str">
        <f>IFERROR(MATCH($B$2&amp;"|"&amp;A50,CatalogData!$G:$G,0),"")</f>
        <v/>
      </c>
      <c r="C50" s="9" t="str">
        <f>IF($B50="","",INDEX(CatalogData!$C:$C,$B50))</f>
        <v/>
      </c>
      <c r="D50" s="9" t="str">
        <f>IF($B50="","",INDEX(CatalogData!$D:$D,$B50))</f>
        <v/>
      </c>
      <c r="E50" s="9" t="str">
        <f>IF($B50="","",INDEX(CatalogData!$E:$E,$B50))</f>
        <v/>
      </c>
      <c r="F50" s="9" t="str">
        <f>IF($B50="","",INDEX(CatalogData!$F:$F,$B50))</f>
        <v/>
      </c>
      <c r="G50" s="9" t="str">
        <f t="shared" si="0"/>
        <v/>
      </c>
      <c r="H50" s="9" t="str">
        <f t="shared" si="13"/>
        <v/>
      </c>
      <c r="I50" s="9" t="str">
        <f t="shared" si="12"/>
        <v/>
      </c>
      <c r="J50" s="9" t="str">
        <f t="shared" si="2"/>
        <v/>
      </c>
      <c r="K50" s="8" t="str">
        <f>IF($B50="","",IFERROR(MATCH($H50,SuterWide!$A$2:$A$56,1),""))</f>
        <v/>
      </c>
      <c r="L50" s="9" t="str">
        <f>IF($K50="","",INDEX(SuterWide!$A$2:$A$56,$K50))</f>
        <v/>
      </c>
      <c r="M50" s="9" t="str">
        <f>IF($K50="","",INDEX(SuterWide!$A$2:$A$56,MIN($K50+1,ROWS(SuterWide!$A$2:$A$56))))</f>
        <v/>
      </c>
      <c r="N50" s="9" t="str">
        <f>IF($K50="","",IF($B$12=25,INDEX(SuterWide!$B$2:$B$56,$K50),IF($B$12=147,INDEX(SuterWide!$D$2:$D$56,$K50),INDEX(SuterWide!$F$2:$F$56,$K50))))</f>
        <v/>
      </c>
      <c r="O50" s="9" t="str">
        <f>IF($K50="","",IF($B$12=25,INDEX(SuterWide!$B$2:$B$56,MIN($K50+1,ROWS(SuterWide!$A$2:$A$56))),IF($B$12=147,INDEX(SuterWide!$D$2:$D$56,MIN($K50+1,ROWS(SuterWide!$A$2:$A$56))),INDEX(SuterWide!$F$2:$F$56,MIN($K50+1,ROWS(SuterWide!$A$2:$A$56))))))</f>
        <v/>
      </c>
      <c r="P50" s="9" t="str">
        <f t="shared" si="3"/>
        <v/>
      </c>
      <c r="Q50" s="9" t="str">
        <f>IF($K50="","",IF($B$12=25,INDEX(SuterWide!$C$2:$C$56,$K50),IF($B$12=147,INDEX(SuterWide!$E$2:$E$56,$K50),INDEX(SuterWide!$G$2:$G$56,$K50))))</f>
        <v/>
      </c>
      <c r="R50" s="9" t="str">
        <f>IF($K50="","",IF($B$12=25,INDEX(SuterWide!$C$2:$C$56,MIN($K50+1,ROWS(SuterWide!$A$2:$A$56))),IF($B$12=147,INDEX(SuterWide!$E$2:$E$56,MIN($K50+1,ROWS(SuterWide!$A$2:$A$56))),INDEX(SuterWide!$G$2:$G$56,MIN($K50+1,ROWS(SuterWide!$A$2:$A$56))))))</f>
        <v/>
      </c>
      <c r="S50" s="9" t="str">
        <f t="shared" si="4"/>
        <v/>
      </c>
      <c r="T50" s="9" t="str">
        <f t="shared" si="5"/>
        <v/>
      </c>
      <c r="U50" s="9" t="str">
        <f t="shared" si="6"/>
        <v/>
      </c>
      <c r="V50" s="9" t="str">
        <f t="shared" si="7"/>
        <v/>
      </c>
      <c r="W50" s="9" t="str">
        <f t="shared" si="8"/>
        <v/>
      </c>
      <c r="X50" s="9" t="str">
        <f t="shared" si="9"/>
        <v/>
      </c>
      <c r="Y50" s="9" t="str">
        <f t="shared" si="10"/>
        <v/>
      </c>
      <c r="Z50" s="9" t="str">
        <f t="shared" si="11"/>
        <v/>
      </c>
    </row>
    <row r="51" spans="1:26" x14ac:dyDescent="0.3">
      <c r="A51" s="8">
        <v>30</v>
      </c>
      <c r="B51" s="8" t="str">
        <f>IFERROR(MATCH($B$2&amp;"|"&amp;A51,CatalogData!$G:$G,0),"")</f>
        <v/>
      </c>
      <c r="C51" s="9" t="str">
        <f>IF($B51="","",INDEX(CatalogData!$C:$C,$B51))</f>
        <v/>
      </c>
      <c r="D51" s="9" t="str">
        <f>IF($B51="","",INDEX(CatalogData!$D:$D,$B51))</f>
        <v/>
      </c>
      <c r="E51" s="9" t="str">
        <f>IF($B51="","",INDEX(CatalogData!$E:$E,$B51))</f>
        <v/>
      </c>
      <c r="F51" s="9" t="str">
        <f>IF($B51="","",INDEX(CatalogData!$F:$F,$B51))</f>
        <v/>
      </c>
      <c r="G51" s="9" t="str">
        <f t="shared" si="0"/>
        <v/>
      </c>
      <c r="H51" s="9" t="str">
        <f t="shared" si="13"/>
        <v/>
      </c>
      <c r="I51" s="9" t="str">
        <f t="shared" si="12"/>
        <v/>
      </c>
      <c r="J51" s="9" t="str">
        <f t="shared" si="2"/>
        <v/>
      </c>
      <c r="K51" s="8" t="str">
        <f>IF($B51="","",IFERROR(MATCH($H51,SuterWide!$A$2:$A$56,1),""))</f>
        <v/>
      </c>
      <c r="L51" s="9" t="str">
        <f>IF($K51="","",INDEX(SuterWide!$A$2:$A$56,$K51))</f>
        <v/>
      </c>
      <c r="M51" s="9" t="str">
        <f>IF($K51="","",INDEX(SuterWide!$A$2:$A$56,MIN($K51+1,ROWS(SuterWide!$A$2:$A$56))))</f>
        <v/>
      </c>
      <c r="N51" s="9" t="str">
        <f>IF($K51="","",IF($B$12=25,INDEX(SuterWide!$B$2:$B$56,$K51),IF($B$12=147,INDEX(SuterWide!$D$2:$D$56,$K51),INDEX(SuterWide!$F$2:$F$56,$K51))))</f>
        <v/>
      </c>
      <c r="O51" s="9" t="str">
        <f>IF($K51="","",IF($B$12=25,INDEX(SuterWide!$B$2:$B$56,MIN($K51+1,ROWS(SuterWide!$A$2:$A$56))),IF($B$12=147,INDEX(SuterWide!$D$2:$D$56,MIN($K51+1,ROWS(SuterWide!$A$2:$A$56))),INDEX(SuterWide!$F$2:$F$56,MIN($K51+1,ROWS(SuterWide!$A$2:$A$56))))))</f>
        <v/>
      </c>
      <c r="P51" s="9" t="str">
        <f t="shared" si="3"/>
        <v/>
      </c>
      <c r="Q51" s="9" t="str">
        <f>IF($K51="","",IF($B$12=25,INDEX(SuterWide!$C$2:$C$56,$K51),IF($B$12=147,INDEX(SuterWide!$E$2:$E$56,$K51),INDEX(SuterWide!$G$2:$G$56,$K51))))</f>
        <v/>
      </c>
      <c r="R51" s="9" t="str">
        <f>IF($K51="","",IF($B$12=25,INDEX(SuterWide!$C$2:$C$56,MIN($K51+1,ROWS(SuterWide!$A$2:$A$56))),IF($B$12=147,INDEX(SuterWide!$E$2:$E$56,MIN($K51+1,ROWS(SuterWide!$A$2:$A$56))),INDEX(SuterWide!$G$2:$G$56,MIN($K51+1,ROWS(SuterWide!$A$2:$A$56))))))</f>
        <v/>
      </c>
      <c r="S51" s="9" t="str">
        <f t="shared" si="4"/>
        <v/>
      </c>
      <c r="T51" s="9" t="str">
        <f t="shared" si="5"/>
        <v/>
      </c>
      <c r="U51" s="9" t="str">
        <f t="shared" si="6"/>
        <v/>
      </c>
      <c r="V51" s="9" t="str">
        <f t="shared" si="7"/>
        <v/>
      </c>
      <c r="W51" s="9" t="str">
        <f t="shared" si="8"/>
        <v/>
      </c>
      <c r="X51" s="9" t="str">
        <f t="shared" si="9"/>
        <v/>
      </c>
      <c r="Y51" s="9" t="str">
        <f t="shared" si="10"/>
        <v/>
      </c>
      <c r="Z51" s="9" t="str">
        <f t="shared" si="11"/>
        <v/>
      </c>
    </row>
    <row r="52" spans="1:26" x14ac:dyDescent="0.3">
      <c r="A52" s="8">
        <v>31</v>
      </c>
      <c r="B52" s="8" t="str">
        <f>IFERROR(MATCH($B$2&amp;"|"&amp;A52,CatalogData!$G:$G,0),"")</f>
        <v/>
      </c>
      <c r="C52" s="9" t="str">
        <f>IF($B52="","",INDEX(CatalogData!$C:$C,$B52))</f>
        <v/>
      </c>
      <c r="D52" s="9" t="str">
        <f>IF($B52="","",INDEX(CatalogData!$D:$D,$B52))</f>
        <v/>
      </c>
      <c r="E52" s="9" t="str">
        <f>IF($B52="","",INDEX(CatalogData!$E:$E,$B52))</f>
        <v/>
      </c>
      <c r="F52" s="9" t="str">
        <f>IF($B52="","",INDEX(CatalogData!$F:$F,$B52))</f>
        <v/>
      </c>
      <c r="G52" s="9" t="str">
        <f t="shared" si="0"/>
        <v/>
      </c>
      <c r="H52" s="9" t="str">
        <f t="shared" si="13"/>
        <v/>
      </c>
      <c r="I52" s="9" t="str">
        <f t="shared" si="12"/>
        <v/>
      </c>
      <c r="J52" s="9" t="str">
        <f t="shared" si="2"/>
        <v/>
      </c>
      <c r="K52" s="8" t="str">
        <f>IF($B52="","",IFERROR(MATCH($H52,SuterWide!$A$2:$A$56,1),""))</f>
        <v/>
      </c>
      <c r="L52" s="9" t="str">
        <f>IF($K52="","",INDEX(SuterWide!$A$2:$A$56,$K52))</f>
        <v/>
      </c>
      <c r="M52" s="9" t="str">
        <f>IF($K52="","",INDEX(SuterWide!$A$2:$A$56,MIN($K52+1,ROWS(SuterWide!$A$2:$A$56))))</f>
        <v/>
      </c>
      <c r="N52" s="9" t="str">
        <f>IF($K52="","",IF($B$12=25,INDEX(SuterWide!$B$2:$B$56,$K52),IF($B$12=147,INDEX(SuterWide!$D$2:$D$56,$K52),INDEX(SuterWide!$F$2:$F$56,$K52))))</f>
        <v/>
      </c>
      <c r="O52" s="9" t="str">
        <f>IF($K52="","",IF($B$12=25,INDEX(SuterWide!$B$2:$B$56,MIN($K52+1,ROWS(SuterWide!$A$2:$A$56))),IF($B$12=147,INDEX(SuterWide!$D$2:$D$56,MIN($K52+1,ROWS(SuterWide!$A$2:$A$56))),INDEX(SuterWide!$F$2:$F$56,MIN($K52+1,ROWS(SuterWide!$A$2:$A$56))))))</f>
        <v/>
      </c>
      <c r="P52" s="9" t="str">
        <f t="shared" si="3"/>
        <v/>
      </c>
      <c r="Q52" s="9" t="str">
        <f>IF($K52="","",IF($B$12=25,INDEX(SuterWide!$C$2:$C$56,$K52),IF($B$12=147,INDEX(SuterWide!$E$2:$E$56,$K52),INDEX(SuterWide!$G$2:$G$56,$K52))))</f>
        <v/>
      </c>
      <c r="R52" s="9" t="str">
        <f>IF($K52="","",IF($B$12=25,INDEX(SuterWide!$C$2:$C$56,MIN($K52+1,ROWS(SuterWide!$A$2:$A$56))),IF($B$12=147,INDEX(SuterWide!$E$2:$E$56,MIN($K52+1,ROWS(SuterWide!$A$2:$A$56))),INDEX(SuterWide!$G$2:$G$56,MIN($K52+1,ROWS(SuterWide!$A$2:$A$56))))))</f>
        <v/>
      </c>
      <c r="S52" s="9" t="str">
        <f t="shared" si="4"/>
        <v/>
      </c>
      <c r="T52" s="9" t="str">
        <f t="shared" si="5"/>
        <v/>
      </c>
      <c r="U52" s="9" t="str">
        <f t="shared" si="6"/>
        <v/>
      </c>
      <c r="V52" s="9" t="str">
        <f t="shared" si="7"/>
        <v/>
      </c>
      <c r="W52" s="9" t="str">
        <f t="shared" si="8"/>
        <v/>
      </c>
      <c r="X52" s="9" t="str">
        <f t="shared" si="9"/>
        <v/>
      </c>
      <c r="Y52" s="9" t="str">
        <f t="shared" si="10"/>
        <v/>
      </c>
      <c r="Z52" s="9" t="str">
        <f t="shared" si="11"/>
        <v/>
      </c>
    </row>
    <row r="53" spans="1:26" x14ac:dyDescent="0.3">
      <c r="A53" s="8">
        <v>32</v>
      </c>
      <c r="B53" s="8" t="str">
        <f>IFERROR(MATCH($B$2&amp;"|"&amp;A53,CatalogData!$G:$G,0),"")</f>
        <v/>
      </c>
      <c r="C53" s="9" t="str">
        <f>IF($B53="","",INDEX(CatalogData!$C:$C,$B53))</f>
        <v/>
      </c>
      <c r="D53" s="9" t="str">
        <f>IF($B53="","",INDEX(CatalogData!$D:$D,$B53))</f>
        <v/>
      </c>
      <c r="E53" s="9" t="str">
        <f>IF($B53="","",INDEX(CatalogData!$E:$E,$B53))</f>
        <v/>
      </c>
      <c r="F53" s="9" t="str">
        <f>IF($B53="","",INDEX(CatalogData!$F:$F,$B53))</f>
        <v/>
      </c>
      <c r="G53" s="9" t="str">
        <f t="shared" si="0"/>
        <v/>
      </c>
      <c r="H53" s="9" t="str">
        <f t="shared" si="13"/>
        <v/>
      </c>
      <c r="I53" s="9" t="str">
        <f t="shared" si="12"/>
        <v/>
      </c>
      <c r="J53" s="9" t="str">
        <f t="shared" si="2"/>
        <v/>
      </c>
      <c r="K53" s="8" t="str">
        <f>IF($B53="","",IFERROR(MATCH($H53,SuterWide!$A$2:$A$56,1),""))</f>
        <v/>
      </c>
      <c r="L53" s="9" t="str">
        <f>IF($K53="","",INDEX(SuterWide!$A$2:$A$56,$K53))</f>
        <v/>
      </c>
      <c r="M53" s="9" t="str">
        <f>IF($K53="","",INDEX(SuterWide!$A$2:$A$56,MIN($K53+1,ROWS(SuterWide!$A$2:$A$56))))</f>
        <v/>
      </c>
      <c r="N53" s="9" t="str">
        <f>IF($K53="","",IF($B$12=25,INDEX(SuterWide!$B$2:$B$56,$K53),IF($B$12=147,INDEX(SuterWide!$D$2:$D$56,$K53),INDEX(SuterWide!$F$2:$F$56,$K53))))</f>
        <v/>
      </c>
      <c r="O53" s="9" t="str">
        <f>IF($K53="","",IF($B$12=25,INDEX(SuterWide!$B$2:$B$56,MIN($K53+1,ROWS(SuterWide!$A$2:$A$56))),IF($B$12=147,INDEX(SuterWide!$D$2:$D$56,MIN($K53+1,ROWS(SuterWide!$A$2:$A$56))),INDEX(SuterWide!$F$2:$F$56,MIN($K53+1,ROWS(SuterWide!$A$2:$A$56))))))</f>
        <v/>
      </c>
      <c r="P53" s="9" t="str">
        <f t="shared" si="3"/>
        <v/>
      </c>
      <c r="Q53" s="9" t="str">
        <f>IF($K53="","",IF($B$12=25,INDEX(SuterWide!$C$2:$C$56,$K53),IF($B$12=147,INDEX(SuterWide!$E$2:$E$56,$K53),INDEX(SuterWide!$G$2:$G$56,$K53))))</f>
        <v/>
      </c>
      <c r="R53" s="9" t="str">
        <f>IF($K53="","",IF($B$12=25,INDEX(SuterWide!$C$2:$C$56,MIN($K53+1,ROWS(SuterWide!$A$2:$A$56))),IF($B$12=147,INDEX(SuterWide!$E$2:$E$56,MIN($K53+1,ROWS(SuterWide!$A$2:$A$56))),INDEX(SuterWide!$G$2:$G$56,MIN($K53+1,ROWS(SuterWide!$A$2:$A$56))))))</f>
        <v/>
      </c>
      <c r="S53" s="9" t="str">
        <f t="shared" si="4"/>
        <v/>
      </c>
      <c r="T53" s="9" t="str">
        <f t="shared" si="5"/>
        <v/>
      </c>
      <c r="U53" s="9" t="str">
        <f t="shared" si="6"/>
        <v/>
      </c>
      <c r="V53" s="9" t="str">
        <f t="shared" si="7"/>
        <v/>
      </c>
      <c r="W53" s="9" t="str">
        <f t="shared" si="8"/>
        <v/>
      </c>
      <c r="X53" s="9" t="str">
        <f t="shared" si="9"/>
        <v/>
      </c>
      <c r="Y53" s="9" t="str">
        <f t="shared" si="10"/>
        <v/>
      </c>
      <c r="Z53" s="9" t="str">
        <f t="shared" si="11"/>
        <v/>
      </c>
    </row>
    <row r="54" spans="1:26" x14ac:dyDescent="0.3">
      <c r="A54" s="8">
        <v>33</v>
      </c>
      <c r="B54" s="8" t="str">
        <f>IFERROR(MATCH($B$2&amp;"|"&amp;A54,CatalogData!$G:$G,0),"")</f>
        <v/>
      </c>
      <c r="C54" s="9" t="str">
        <f>IF($B54="","",INDEX(CatalogData!$C:$C,$B54))</f>
        <v/>
      </c>
      <c r="D54" s="9" t="str">
        <f>IF($B54="","",INDEX(CatalogData!$D:$D,$B54))</f>
        <v/>
      </c>
      <c r="E54" s="9" t="str">
        <f>IF($B54="","",INDEX(CatalogData!$E:$E,$B54))</f>
        <v/>
      </c>
      <c r="F54" s="9" t="str">
        <f>IF($B54="","",INDEX(CatalogData!$F:$F,$B54))</f>
        <v/>
      </c>
      <c r="G54" s="9" t="str">
        <f t="shared" si="0"/>
        <v/>
      </c>
      <c r="H54" s="9" t="str">
        <f t="shared" si="13"/>
        <v/>
      </c>
      <c r="I54" s="9" t="str">
        <f t="shared" si="12"/>
        <v/>
      </c>
      <c r="J54" s="9" t="str">
        <f t="shared" si="2"/>
        <v/>
      </c>
      <c r="K54" s="8" t="str">
        <f>IF($B54="","",IFERROR(MATCH($H54,SuterWide!$A$2:$A$56,1),""))</f>
        <v/>
      </c>
      <c r="L54" s="9" t="str">
        <f>IF($K54="","",INDEX(SuterWide!$A$2:$A$56,$K54))</f>
        <v/>
      </c>
      <c r="M54" s="9" t="str">
        <f>IF($K54="","",INDEX(SuterWide!$A$2:$A$56,MIN($K54+1,ROWS(SuterWide!$A$2:$A$56))))</f>
        <v/>
      </c>
      <c r="N54" s="9" t="str">
        <f>IF($K54="","",IF($B$12=25,INDEX(SuterWide!$B$2:$B$56,$K54),IF($B$12=147,INDEX(SuterWide!$D$2:$D$56,$K54),INDEX(SuterWide!$F$2:$F$56,$K54))))</f>
        <v/>
      </c>
      <c r="O54" s="9" t="str">
        <f>IF($K54="","",IF($B$12=25,INDEX(SuterWide!$B$2:$B$56,MIN($K54+1,ROWS(SuterWide!$A$2:$A$56))),IF($B$12=147,INDEX(SuterWide!$D$2:$D$56,MIN($K54+1,ROWS(SuterWide!$A$2:$A$56))),INDEX(SuterWide!$F$2:$F$56,MIN($K54+1,ROWS(SuterWide!$A$2:$A$56))))))</f>
        <v/>
      </c>
      <c r="P54" s="9" t="str">
        <f t="shared" si="3"/>
        <v/>
      </c>
      <c r="Q54" s="9" t="str">
        <f>IF($K54="","",IF($B$12=25,INDEX(SuterWide!$C$2:$C$56,$K54),IF($B$12=147,INDEX(SuterWide!$E$2:$E$56,$K54),INDEX(SuterWide!$G$2:$G$56,$K54))))</f>
        <v/>
      </c>
      <c r="R54" s="9" t="str">
        <f>IF($K54="","",IF($B$12=25,INDEX(SuterWide!$C$2:$C$56,MIN($K54+1,ROWS(SuterWide!$A$2:$A$56))),IF($B$12=147,INDEX(SuterWide!$E$2:$E$56,MIN($K54+1,ROWS(SuterWide!$A$2:$A$56))),INDEX(SuterWide!$G$2:$G$56,MIN($K54+1,ROWS(SuterWide!$A$2:$A$56))))))</f>
        <v/>
      </c>
      <c r="S54" s="9" t="str">
        <f t="shared" si="4"/>
        <v/>
      </c>
      <c r="T54" s="9" t="str">
        <f t="shared" si="5"/>
        <v/>
      </c>
      <c r="U54" s="9" t="str">
        <f t="shared" si="6"/>
        <v/>
      </c>
      <c r="V54" s="9" t="str">
        <f t="shared" si="7"/>
        <v/>
      </c>
      <c r="W54" s="9" t="str">
        <f t="shared" si="8"/>
        <v/>
      </c>
      <c r="X54" s="9" t="str">
        <f t="shared" si="9"/>
        <v/>
      </c>
      <c r="Y54" s="9" t="str">
        <f t="shared" si="10"/>
        <v/>
      </c>
      <c r="Z54" s="9" t="str">
        <f t="shared" si="11"/>
        <v/>
      </c>
    </row>
    <row r="55" spans="1:26" x14ac:dyDescent="0.3">
      <c r="A55" s="8">
        <v>34</v>
      </c>
      <c r="B55" s="8" t="str">
        <f>IFERROR(MATCH($B$2&amp;"|"&amp;A55,CatalogData!$G:$G,0),"")</f>
        <v/>
      </c>
      <c r="C55" s="9" t="str">
        <f>IF($B55="","",INDEX(CatalogData!$C:$C,$B55))</f>
        <v/>
      </c>
      <c r="D55" s="9" t="str">
        <f>IF($B55="","",INDEX(CatalogData!$D:$D,$B55))</f>
        <v/>
      </c>
      <c r="E55" s="9" t="str">
        <f>IF($B55="","",INDEX(CatalogData!$E:$E,$B55))</f>
        <v/>
      </c>
      <c r="F55" s="9" t="str">
        <f>IF($B55="","",INDEX(CatalogData!$F:$F,$B55))</f>
        <v/>
      </c>
      <c r="G55" s="9" t="str">
        <f t="shared" si="0"/>
        <v/>
      </c>
      <c r="H55" s="9" t="str">
        <f t="shared" si="13"/>
        <v/>
      </c>
      <c r="I55" s="9" t="str">
        <f t="shared" si="12"/>
        <v/>
      </c>
      <c r="J55" s="9" t="str">
        <f t="shared" si="2"/>
        <v/>
      </c>
      <c r="K55" s="8" t="str">
        <f>IF($B55="","",IFERROR(MATCH($H55,SuterWide!$A$2:$A$56,1),""))</f>
        <v/>
      </c>
      <c r="L55" s="9" t="str">
        <f>IF($K55="","",INDEX(SuterWide!$A$2:$A$56,$K55))</f>
        <v/>
      </c>
      <c r="M55" s="9" t="str">
        <f>IF($K55="","",INDEX(SuterWide!$A$2:$A$56,MIN($K55+1,ROWS(SuterWide!$A$2:$A$56))))</f>
        <v/>
      </c>
      <c r="N55" s="9" t="str">
        <f>IF($K55="","",IF($B$12=25,INDEX(SuterWide!$B$2:$B$56,$K55),IF($B$12=147,INDEX(SuterWide!$D$2:$D$56,$K55),INDEX(SuterWide!$F$2:$F$56,$K55))))</f>
        <v/>
      </c>
      <c r="O55" s="9" t="str">
        <f>IF($K55="","",IF($B$12=25,INDEX(SuterWide!$B$2:$B$56,MIN($K55+1,ROWS(SuterWide!$A$2:$A$56))),IF($B$12=147,INDEX(SuterWide!$D$2:$D$56,MIN($K55+1,ROWS(SuterWide!$A$2:$A$56))),INDEX(SuterWide!$F$2:$F$56,MIN($K55+1,ROWS(SuterWide!$A$2:$A$56))))))</f>
        <v/>
      </c>
      <c r="P55" s="9" t="str">
        <f t="shared" si="3"/>
        <v/>
      </c>
      <c r="Q55" s="9" t="str">
        <f>IF($K55="","",IF($B$12=25,INDEX(SuterWide!$C$2:$C$56,$K55),IF($B$12=147,INDEX(SuterWide!$E$2:$E$56,$K55),INDEX(SuterWide!$G$2:$G$56,$K55))))</f>
        <v/>
      </c>
      <c r="R55" s="9" t="str">
        <f>IF($K55="","",IF($B$12=25,INDEX(SuterWide!$C$2:$C$56,MIN($K55+1,ROWS(SuterWide!$A$2:$A$56))),IF($B$12=147,INDEX(SuterWide!$E$2:$E$56,MIN($K55+1,ROWS(SuterWide!$A$2:$A$56))),INDEX(SuterWide!$G$2:$G$56,MIN($K55+1,ROWS(SuterWide!$A$2:$A$56))))))</f>
        <v/>
      </c>
      <c r="S55" s="9" t="str">
        <f t="shared" si="4"/>
        <v/>
      </c>
      <c r="T55" s="9" t="str">
        <f t="shared" si="5"/>
        <v/>
      </c>
      <c r="U55" s="9" t="str">
        <f t="shared" si="6"/>
        <v/>
      </c>
      <c r="V55" s="9" t="str">
        <f t="shared" si="7"/>
        <v/>
      </c>
      <c r="W55" s="9" t="str">
        <f t="shared" si="8"/>
        <v/>
      </c>
      <c r="X55" s="9" t="str">
        <f t="shared" si="9"/>
        <v/>
      </c>
      <c r="Y55" s="9" t="str">
        <f t="shared" si="10"/>
        <v/>
      </c>
      <c r="Z55" s="9" t="str">
        <f t="shared" si="11"/>
        <v/>
      </c>
    </row>
    <row r="56" spans="1:26" x14ac:dyDescent="0.3">
      <c r="A56" s="8">
        <v>35</v>
      </c>
      <c r="B56" s="8" t="str">
        <f>IFERROR(MATCH($B$2&amp;"|"&amp;A56,CatalogData!$G:$G,0),"")</f>
        <v/>
      </c>
      <c r="C56" s="9" t="str">
        <f>IF($B56="","",INDEX(CatalogData!$C:$C,$B56))</f>
        <v/>
      </c>
      <c r="D56" s="9" t="str">
        <f>IF($B56="","",INDEX(CatalogData!$D:$D,$B56))</f>
        <v/>
      </c>
      <c r="E56" s="9" t="str">
        <f>IF($B56="","",INDEX(CatalogData!$E:$E,$B56))</f>
        <v/>
      </c>
      <c r="F56" s="9" t="str">
        <f>IF($B56="","",INDEX(CatalogData!$F:$F,$B56))</f>
        <v/>
      </c>
      <c r="G56" s="9" t="str">
        <f t="shared" si="0"/>
        <v/>
      </c>
      <c r="H56" s="9" t="str">
        <f t="shared" si="13"/>
        <v/>
      </c>
      <c r="I56" s="9" t="str">
        <f t="shared" si="12"/>
        <v/>
      </c>
      <c r="J56" s="9" t="str">
        <f t="shared" si="2"/>
        <v/>
      </c>
      <c r="K56" s="8" t="str">
        <f>IF($B56="","",IFERROR(MATCH($H56,SuterWide!$A$2:$A$56,1),""))</f>
        <v/>
      </c>
      <c r="L56" s="9" t="str">
        <f>IF($K56="","",INDEX(SuterWide!$A$2:$A$56,$K56))</f>
        <v/>
      </c>
      <c r="M56" s="9" t="str">
        <f>IF($K56="","",INDEX(SuterWide!$A$2:$A$56,MIN($K56+1,ROWS(SuterWide!$A$2:$A$56))))</f>
        <v/>
      </c>
      <c r="N56" s="9" t="str">
        <f>IF($K56="","",IF($B$12=25,INDEX(SuterWide!$B$2:$B$56,$K56),IF($B$12=147,INDEX(SuterWide!$D$2:$D$56,$K56),INDEX(SuterWide!$F$2:$F$56,$K56))))</f>
        <v/>
      </c>
      <c r="O56" s="9" t="str">
        <f>IF($K56="","",IF($B$12=25,INDEX(SuterWide!$B$2:$B$56,MIN($K56+1,ROWS(SuterWide!$A$2:$A$56))),IF($B$12=147,INDEX(SuterWide!$D$2:$D$56,MIN($K56+1,ROWS(SuterWide!$A$2:$A$56))),INDEX(SuterWide!$F$2:$F$56,MIN($K56+1,ROWS(SuterWide!$A$2:$A$56))))))</f>
        <v/>
      </c>
      <c r="P56" s="9" t="str">
        <f t="shared" si="3"/>
        <v/>
      </c>
      <c r="Q56" s="9" t="str">
        <f>IF($K56="","",IF($B$12=25,INDEX(SuterWide!$C$2:$C$56,$K56),IF($B$12=147,INDEX(SuterWide!$E$2:$E$56,$K56),INDEX(SuterWide!$G$2:$G$56,$K56))))</f>
        <v/>
      </c>
      <c r="R56" s="9" t="str">
        <f>IF($K56="","",IF($B$12=25,INDEX(SuterWide!$C$2:$C$56,MIN($K56+1,ROWS(SuterWide!$A$2:$A$56))),IF($B$12=147,INDEX(SuterWide!$E$2:$E$56,MIN($K56+1,ROWS(SuterWide!$A$2:$A$56))),INDEX(SuterWide!$G$2:$G$56,MIN($K56+1,ROWS(SuterWide!$A$2:$A$56))))))</f>
        <v/>
      </c>
      <c r="S56" s="9" t="str">
        <f t="shared" si="4"/>
        <v/>
      </c>
      <c r="T56" s="9" t="str">
        <f t="shared" si="5"/>
        <v/>
      </c>
      <c r="U56" s="9" t="str">
        <f t="shared" si="6"/>
        <v/>
      </c>
      <c r="V56" s="9" t="str">
        <f t="shared" si="7"/>
        <v/>
      </c>
      <c r="W56" s="9" t="str">
        <f t="shared" si="8"/>
        <v/>
      </c>
      <c r="X56" s="9" t="str">
        <f t="shared" si="9"/>
        <v/>
      </c>
      <c r="Y56" s="9" t="str">
        <f t="shared" si="10"/>
        <v/>
      </c>
      <c r="Z56" s="9" t="str">
        <f t="shared" si="11"/>
        <v/>
      </c>
    </row>
    <row r="57" spans="1:26" x14ac:dyDescent="0.3">
      <c r="A57" s="8">
        <v>36</v>
      </c>
      <c r="B57" s="8" t="str">
        <f>IFERROR(MATCH($B$2&amp;"|"&amp;A57,CatalogData!$G:$G,0),"")</f>
        <v/>
      </c>
      <c r="C57" s="9" t="str">
        <f>IF($B57="","",INDEX(CatalogData!$C:$C,$B57))</f>
        <v/>
      </c>
      <c r="D57" s="9" t="str">
        <f>IF($B57="","",INDEX(CatalogData!$D:$D,$B57))</f>
        <v/>
      </c>
      <c r="E57" s="9" t="str">
        <f>IF($B57="","",INDEX(CatalogData!$E:$E,$B57))</f>
        <v/>
      </c>
      <c r="F57" s="9" t="str">
        <f>IF($B57="","",INDEX(CatalogData!$F:$F,$B57))</f>
        <v/>
      </c>
      <c r="G57" s="9" t="str">
        <f t="shared" si="0"/>
        <v/>
      </c>
      <c r="H57" s="9" t="str">
        <f t="shared" si="13"/>
        <v/>
      </c>
      <c r="I57" s="9" t="str">
        <f t="shared" si="12"/>
        <v/>
      </c>
      <c r="J57" s="9" t="str">
        <f t="shared" si="2"/>
        <v/>
      </c>
      <c r="K57" s="8" t="str">
        <f>IF($B57="","",IFERROR(MATCH($H57,SuterWide!$A$2:$A$56,1),""))</f>
        <v/>
      </c>
      <c r="L57" s="9" t="str">
        <f>IF($K57="","",INDEX(SuterWide!$A$2:$A$56,$K57))</f>
        <v/>
      </c>
      <c r="M57" s="9" t="str">
        <f>IF($K57="","",INDEX(SuterWide!$A$2:$A$56,MIN($K57+1,ROWS(SuterWide!$A$2:$A$56))))</f>
        <v/>
      </c>
      <c r="N57" s="9" t="str">
        <f>IF($K57="","",IF($B$12=25,INDEX(SuterWide!$B$2:$B$56,$K57),IF($B$12=147,INDEX(SuterWide!$D$2:$D$56,$K57),INDEX(SuterWide!$F$2:$F$56,$K57))))</f>
        <v/>
      </c>
      <c r="O57" s="9" t="str">
        <f>IF($K57="","",IF($B$12=25,INDEX(SuterWide!$B$2:$B$56,MIN($K57+1,ROWS(SuterWide!$A$2:$A$56))),IF($B$12=147,INDEX(SuterWide!$D$2:$D$56,MIN($K57+1,ROWS(SuterWide!$A$2:$A$56))),INDEX(SuterWide!$F$2:$F$56,MIN($K57+1,ROWS(SuterWide!$A$2:$A$56))))))</f>
        <v/>
      </c>
      <c r="P57" s="9" t="str">
        <f t="shared" si="3"/>
        <v/>
      </c>
      <c r="Q57" s="9" t="str">
        <f>IF($K57="","",IF($B$12=25,INDEX(SuterWide!$C$2:$C$56,$K57),IF($B$12=147,INDEX(SuterWide!$E$2:$E$56,$K57),INDEX(SuterWide!$G$2:$G$56,$K57))))</f>
        <v/>
      </c>
      <c r="R57" s="9" t="str">
        <f>IF($K57="","",IF($B$12=25,INDEX(SuterWide!$C$2:$C$56,MIN($K57+1,ROWS(SuterWide!$A$2:$A$56))),IF($B$12=147,INDEX(SuterWide!$E$2:$E$56,MIN($K57+1,ROWS(SuterWide!$A$2:$A$56))),INDEX(SuterWide!$G$2:$G$56,MIN($K57+1,ROWS(SuterWide!$A$2:$A$56))))))</f>
        <v/>
      </c>
      <c r="S57" s="9" t="str">
        <f t="shared" si="4"/>
        <v/>
      </c>
      <c r="T57" s="9" t="str">
        <f t="shared" si="5"/>
        <v/>
      </c>
      <c r="U57" s="9" t="str">
        <f t="shared" si="6"/>
        <v/>
      </c>
      <c r="V57" s="9" t="str">
        <f t="shared" si="7"/>
        <v/>
      </c>
      <c r="W57" s="9" t="str">
        <f t="shared" si="8"/>
        <v/>
      </c>
      <c r="X57" s="9" t="str">
        <f t="shared" si="9"/>
        <v/>
      </c>
      <c r="Y57" s="9" t="str">
        <f t="shared" si="10"/>
        <v/>
      </c>
      <c r="Z57" s="9" t="str">
        <f t="shared" si="11"/>
        <v/>
      </c>
    </row>
    <row r="58" spans="1:26" x14ac:dyDescent="0.3">
      <c r="A58" s="8">
        <v>37</v>
      </c>
      <c r="B58" s="8" t="str">
        <f>IFERROR(MATCH($B$2&amp;"|"&amp;A58,CatalogData!$G:$G,0),"")</f>
        <v/>
      </c>
      <c r="C58" s="9" t="str">
        <f>IF($B58="","",INDEX(CatalogData!$C:$C,$B58))</f>
        <v/>
      </c>
      <c r="D58" s="9" t="str">
        <f>IF($B58="","",INDEX(CatalogData!$D:$D,$B58))</f>
        <v/>
      </c>
      <c r="E58" s="9" t="str">
        <f>IF($B58="","",INDEX(CatalogData!$E:$E,$B58))</f>
        <v/>
      </c>
      <c r="F58" s="9" t="str">
        <f>IF($B58="","",INDEX(CatalogData!$F:$F,$B58))</f>
        <v/>
      </c>
      <c r="G58" s="9" t="str">
        <f t="shared" si="0"/>
        <v/>
      </c>
      <c r="H58" s="9" t="str">
        <f t="shared" si="13"/>
        <v/>
      </c>
      <c r="I58" s="9" t="str">
        <f t="shared" si="12"/>
        <v/>
      </c>
      <c r="J58" s="9" t="str">
        <f t="shared" si="2"/>
        <v/>
      </c>
      <c r="K58" s="8" t="str">
        <f>IF($B58="","",IFERROR(MATCH($H58,SuterWide!$A$2:$A$56,1),""))</f>
        <v/>
      </c>
      <c r="L58" s="9" t="str">
        <f>IF($K58="","",INDEX(SuterWide!$A$2:$A$56,$K58))</f>
        <v/>
      </c>
      <c r="M58" s="9" t="str">
        <f>IF($K58="","",INDEX(SuterWide!$A$2:$A$56,MIN($K58+1,ROWS(SuterWide!$A$2:$A$56))))</f>
        <v/>
      </c>
      <c r="N58" s="9" t="str">
        <f>IF($K58="","",IF($B$12=25,INDEX(SuterWide!$B$2:$B$56,$K58),IF($B$12=147,INDEX(SuterWide!$D$2:$D$56,$K58),INDEX(SuterWide!$F$2:$F$56,$K58))))</f>
        <v/>
      </c>
      <c r="O58" s="9" t="str">
        <f>IF($K58="","",IF($B$12=25,INDEX(SuterWide!$B$2:$B$56,MIN($K58+1,ROWS(SuterWide!$A$2:$A$56))),IF($B$12=147,INDEX(SuterWide!$D$2:$D$56,MIN($K58+1,ROWS(SuterWide!$A$2:$A$56))),INDEX(SuterWide!$F$2:$F$56,MIN($K58+1,ROWS(SuterWide!$A$2:$A$56))))))</f>
        <v/>
      </c>
      <c r="P58" s="9" t="str">
        <f t="shared" si="3"/>
        <v/>
      </c>
      <c r="Q58" s="9" t="str">
        <f>IF($K58="","",IF($B$12=25,INDEX(SuterWide!$C$2:$C$56,$K58),IF($B$12=147,INDEX(SuterWide!$E$2:$E$56,$K58),INDEX(SuterWide!$G$2:$G$56,$K58))))</f>
        <v/>
      </c>
      <c r="R58" s="9" t="str">
        <f>IF($K58="","",IF($B$12=25,INDEX(SuterWide!$C$2:$C$56,MIN($K58+1,ROWS(SuterWide!$A$2:$A$56))),IF($B$12=147,INDEX(SuterWide!$E$2:$E$56,MIN($K58+1,ROWS(SuterWide!$A$2:$A$56))),INDEX(SuterWide!$G$2:$G$56,MIN($K58+1,ROWS(SuterWide!$A$2:$A$56))))))</f>
        <v/>
      </c>
      <c r="S58" s="9" t="str">
        <f t="shared" si="4"/>
        <v/>
      </c>
      <c r="T58" s="9" t="str">
        <f t="shared" si="5"/>
        <v/>
      </c>
      <c r="U58" s="9" t="str">
        <f t="shared" si="6"/>
        <v/>
      </c>
      <c r="V58" s="9" t="str">
        <f t="shared" si="7"/>
        <v/>
      </c>
      <c r="W58" s="9" t="str">
        <f t="shared" si="8"/>
        <v/>
      </c>
      <c r="X58" s="9" t="str">
        <f t="shared" si="9"/>
        <v/>
      </c>
      <c r="Y58" s="9" t="str">
        <f t="shared" si="10"/>
        <v/>
      </c>
      <c r="Z58" s="9" t="str">
        <f t="shared" si="11"/>
        <v/>
      </c>
    </row>
    <row r="59" spans="1:26" x14ac:dyDescent="0.3">
      <c r="A59" s="8">
        <v>38</v>
      </c>
      <c r="B59" s="8" t="str">
        <f>IFERROR(MATCH($B$2&amp;"|"&amp;A59,CatalogData!$G:$G,0),"")</f>
        <v/>
      </c>
      <c r="C59" s="9" t="str">
        <f>IF($B59="","",INDEX(CatalogData!$C:$C,$B59))</f>
        <v/>
      </c>
      <c r="D59" s="9" t="str">
        <f>IF($B59="","",INDEX(CatalogData!$D:$D,$B59))</f>
        <v/>
      </c>
      <c r="E59" s="9" t="str">
        <f>IF($B59="","",INDEX(CatalogData!$E:$E,$B59))</f>
        <v/>
      </c>
      <c r="F59" s="9" t="str">
        <f>IF($B59="","",INDEX(CatalogData!$F:$F,$B59))</f>
        <v/>
      </c>
      <c r="G59" s="9" t="str">
        <f t="shared" si="0"/>
        <v/>
      </c>
      <c r="H59" s="9" t="str">
        <f t="shared" si="13"/>
        <v/>
      </c>
      <c r="I59" s="9" t="str">
        <f t="shared" si="12"/>
        <v/>
      </c>
      <c r="J59" s="9" t="str">
        <f t="shared" si="2"/>
        <v/>
      </c>
      <c r="K59" s="8" t="str">
        <f>IF($B59="","",IFERROR(MATCH($H59,SuterWide!$A$2:$A$56,1),""))</f>
        <v/>
      </c>
      <c r="L59" s="9" t="str">
        <f>IF($K59="","",INDEX(SuterWide!$A$2:$A$56,$K59))</f>
        <v/>
      </c>
      <c r="M59" s="9" t="str">
        <f>IF($K59="","",INDEX(SuterWide!$A$2:$A$56,MIN($K59+1,ROWS(SuterWide!$A$2:$A$56))))</f>
        <v/>
      </c>
      <c r="N59" s="9" t="str">
        <f>IF($K59="","",IF($B$12=25,INDEX(SuterWide!$B$2:$B$56,$K59),IF($B$12=147,INDEX(SuterWide!$D$2:$D$56,$K59),INDEX(SuterWide!$F$2:$F$56,$K59))))</f>
        <v/>
      </c>
      <c r="O59" s="9" t="str">
        <f>IF($K59="","",IF($B$12=25,INDEX(SuterWide!$B$2:$B$56,MIN($K59+1,ROWS(SuterWide!$A$2:$A$56))),IF($B$12=147,INDEX(SuterWide!$D$2:$D$56,MIN($K59+1,ROWS(SuterWide!$A$2:$A$56))),INDEX(SuterWide!$F$2:$F$56,MIN($K59+1,ROWS(SuterWide!$A$2:$A$56))))))</f>
        <v/>
      </c>
      <c r="P59" s="9" t="str">
        <f t="shared" si="3"/>
        <v/>
      </c>
      <c r="Q59" s="9" t="str">
        <f>IF($K59="","",IF($B$12=25,INDEX(SuterWide!$C$2:$C$56,$K59),IF($B$12=147,INDEX(SuterWide!$E$2:$E$56,$K59),INDEX(SuterWide!$G$2:$G$56,$K59))))</f>
        <v/>
      </c>
      <c r="R59" s="9" t="str">
        <f>IF($K59="","",IF($B$12=25,INDEX(SuterWide!$C$2:$C$56,MIN($K59+1,ROWS(SuterWide!$A$2:$A$56))),IF($B$12=147,INDEX(SuterWide!$E$2:$E$56,MIN($K59+1,ROWS(SuterWide!$A$2:$A$56))),INDEX(SuterWide!$G$2:$G$56,MIN($K59+1,ROWS(SuterWide!$A$2:$A$56))))))</f>
        <v/>
      </c>
      <c r="S59" s="9" t="str">
        <f t="shared" si="4"/>
        <v/>
      </c>
      <c r="T59" s="9" t="str">
        <f t="shared" si="5"/>
        <v/>
      </c>
      <c r="U59" s="9" t="str">
        <f t="shared" si="6"/>
        <v/>
      </c>
      <c r="V59" s="9" t="str">
        <f t="shared" si="7"/>
        <v/>
      </c>
      <c r="W59" s="9" t="str">
        <f t="shared" si="8"/>
        <v/>
      </c>
      <c r="X59" s="9" t="str">
        <f t="shared" si="9"/>
        <v/>
      </c>
      <c r="Y59" s="9" t="str">
        <f t="shared" si="10"/>
        <v/>
      </c>
      <c r="Z59" s="9" t="str">
        <f t="shared" si="11"/>
        <v/>
      </c>
    </row>
    <row r="60" spans="1:26" x14ac:dyDescent="0.3">
      <c r="A60" s="8">
        <v>39</v>
      </c>
      <c r="B60" s="8" t="str">
        <f>IFERROR(MATCH($B$2&amp;"|"&amp;A60,CatalogData!$G:$G,0),"")</f>
        <v/>
      </c>
      <c r="C60" s="9" t="str">
        <f>IF($B60="","",INDEX(CatalogData!$C:$C,$B60))</f>
        <v/>
      </c>
      <c r="D60" s="9" t="str">
        <f>IF($B60="","",INDEX(CatalogData!$D:$D,$B60))</f>
        <v/>
      </c>
      <c r="E60" s="9" t="str">
        <f>IF($B60="","",INDEX(CatalogData!$E:$E,$B60))</f>
        <v/>
      </c>
      <c r="F60" s="9" t="str">
        <f>IF($B60="","",INDEX(CatalogData!$F:$F,$B60))</f>
        <v/>
      </c>
      <c r="G60" s="9" t="str">
        <f t="shared" si="0"/>
        <v/>
      </c>
      <c r="H60" s="9" t="str">
        <f t="shared" si="13"/>
        <v/>
      </c>
      <c r="I60" s="9" t="str">
        <f t="shared" si="12"/>
        <v/>
      </c>
      <c r="J60" s="9" t="str">
        <f t="shared" si="2"/>
        <v/>
      </c>
      <c r="K60" s="8" t="str">
        <f>IF($B60="","",IFERROR(MATCH($H60,SuterWide!$A$2:$A$56,1),""))</f>
        <v/>
      </c>
      <c r="L60" s="9" t="str">
        <f>IF($K60="","",INDEX(SuterWide!$A$2:$A$56,$K60))</f>
        <v/>
      </c>
      <c r="M60" s="9" t="str">
        <f>IF($K60="","",INDEX(SuterWide!$A$2:$A$56,MIN($K60+1,ROWS(SuterWide!$A$2:$A$56))))</f>
        <v/>
      </c>
      <c r="N60" s="9" t="str">
        <f>IF($K60="","",IF($B$12=25,INDEX(SuterWide!$B$2:$B$56,$K60),IF($B$12=147,INDEX(SuterWide!$D$2:$D$56,$K60),INDEX(SuterWide!$F$2:$F$56,$K60))))</f>
        <v/>
      </c>
      <c r="O60" s="9" t="str">
        <f>IF($K60="","",IF($B$12=25,INDEX(SuterWide!$B$2:$B$56,MIN($K60+1,ROWS(SuterWide!$A$2:$A$56))),IF($B$12=147,INDEX(SuterWide!$D$2:$D$56,MIN($K60+1,ROWS(SuterWide!$A$2:$A$56))),INDEX(SuterWide!$F$2:$F$56,MIN($K60+1,ROWS(SuterWide!$A$2:$A$56))))))</f>
        <v/>
      </c>
      <c r="P60" s="9" t="str">
        <f t="shared" si="3"/>
        <v/>
      </c>
      <c r="Q60" s="9" t="str">
        <f>IF($K60="","",IF($B$12=25,INDEX(SuterWide!$C$2:$C$56,$K60),IF($B$12=147,INDEX(SuterWide!$E$2:$E$56,$K60),INDEX(SuterWide!$G$2:$G$56,$K60))))</f>
        <v/>
      </c>
      <c r="R60" s="9" t="str">
        <f>IF($K60="","",IF($B$12=25,INDEX(SuterWide!$C$2:$C$56,MIN($K60+1,ROWS(SuterWide!$A$2:$A$56))),IF($B$12=147,INDEX(SuterWide!$E$2:$E$56,MIN($K60+1,ROWS(SuterWide!$A$2:$A$56))),INDEX(SuterWide!$G$2:$G$56,MIN($K60+1,ROWS(SuterWide!$A$2:$A$56))))))</f>
        <v/>
      </c>
      <c r="S60" s="9" t="str">
        <f t="shared" si="4"/>
        <v/>
      </c>
      <c r="T60" s="9" t="str">
        <f t="shared" si="5"/>
        <v/>
      </c>
      <c r="U60" s="9" t="str">
        <f t="shared" si="6"/>
        <v/>
      </c>
      <c r="V60" s="9" t="str">
        <f t="shared" si="7"/>
        <v/>
      </c>
      <c r="W60" s="9" t="str">
        <f t="shared" si="8"/>
        <v/>
      </c>
      <c r="X60" s="9" t="str">
        <f t="shared" si="9"/>
        <v/>
      </c>
      <c r="Y60" s="9" t="str">
        <f t="shared" si="10"/>
        <v/>
      </c>
      <c r="Z60" s="9" t="str">
        <f t="shared" si="11"/>
        <v/>
      </c>
    </row>
    <row r="61" spans="1:26" x14ac:dyDescent="0.3">
      <c r="A61" s="8">
        <v>40</v>
      </c>
      <c r="B61" s="8" t="str">
        <f>IFERROR(MATCH($B$2&amp;"|"&amp;A61,CatalogData!$G:$G,0),"")</f>
        <v/>
      </c>
      <c r="C61" s="9" t="str">
        <f>IF($B61="","",INDEX(CatalogData!$C:$C,$B61))</f>
        <v/>
      </c>
      <c r="D61" s="9" t="str">
        <f>IF($B61="","",INDEX(CatalogData!$D:$D,$B61))</f>
        <v/>
      </c>
      <c r="E61" s="9" t="str">
        <f>IF($B61="","",INDEX(CatalogData!$E:$E,$B61))</f>
        <v/>
      </c>
      <c r="F61" s="9" t="str">
        <f>IF($B61="","",INDEX(CatalogData!$F:$F,$B61))</f>
        <v/>
      </c>
      <c r="G61" s="9" t="str">
        <f t="shared" si="0"/>
        <v/>
      </c>
      <c r="H61" s="9" t="str">
        <f t="shared" si="13"/>
        <v/>
      </c>
      <c r="I61" s="9" t="str">
        <f t="shared" si="12"/>
        <v/>
      </c>
      <c r="J61" s="9" t="str">
        <f t="shared" si="2"/>
        <v/>
      </c>
      <c r="K61" s="8" t="str">
        <f>IF($B61="","",IFERROR(MATCH($H61,SuterWide!$A$2:$A$56,1),""))</f>
        <v/>
      </c>
      <c r="L61" s="9" t="str">
        <f>IF($K61="","",INDEX(SuterWide!$A$2:$A$56,$K61))</f>
        <v/>
      </c>
      <c r="M61" s="9" t="str">
        <f>IF($K61="","",INDEX(SuterWide!$A$2:$A$56,MIN($K61+1,ROWS(SuterWide!$A$2:$A$56))))</f>
        <v/>
      </c>
      <c r="N61" s="9" t="str">
        <f>IF($K61="","",IF($B$12=25,INDEX(SuterWide!$B$2:$B$56,$K61),IF($B$12=147,INDEX(SuterWide!$D$2:$D$56,$K61),INDEX(SuterWide!$F$2:$F$56,$K61))))</f>
        <v/>
      </c>
      <c r="O61" s="9" t="str">
        <f>IF($K61="","",IF($B$12=25,INDEX(SuterWide!$B$2:$B$56,MIN($K61+1,ROWS(SuterWide!$A$2:$A$56))),IF($B$12=147,INDEX(SuterWide!$D$2:$D$56,MIN($K61+1,ROWS(SuterWide!$A$2:$A$56))),INDEX(SuterWide!$F$2:$F$56,MIN($K61+1,ROWS(SuterWide!$A$2:$A$56))))))</f>
        <v/>
      </c>
      <c r="P61" s="9" t="str">
        <f t="shared" si="3"/>
        <v/>
      </c>
      <c r="Q61" s="9" t="str">
        <f>IF($K61="","",IF($B$12=25,INDEX(SuterWide!$C$2:$C$56,$K61),IF($B$12=147,INDEX(SuterWide!$E$2:$E$56,$K61),INDEX(SuterWide!$G$2:$G$56,$K61))))</f>
        <v/>
      </c>
      <c r="R61" s="9" t="str">
        <f>IF($K61="","",IF($B$12=25,INDEX(SuterWide!$C$2:$C$56,MIN($K61+1,ROWS(SuterWide!$A$2:$A$56))),IF($B$12=147,INDEX(SuterWide!$E$2:$E$56,MIN($K61+1,ROWS(SuterWide!$A$2:$A$56))),INDEX(SuterWide!$G$2:$G$56,MIN($K61+1,ROWS(SuterWide!$A$2:$A$56))))))</f>
        <v/>
      </c>
      <c r="S61" s="9" t="str">
        <f t="shared" si="4"/>
        <v/>
      </c>
      <c r="T61" s="9" t="str">
        <f t="shared" si="5"/>
        <v/>
      </c>
      <c r="U61" s="9" t="str">
        <f t="shared" si="6"/>
        <v/>
      </c>
      <c r="V61" s="9" t="str">
        <f t="shared" si="7"/>
        <v/>
      </c>
      <c r="W61" s="9" t="str">
        <f t="shared" si="8"/>
        <v/>
      </c>
      <c r="X61" s="9" t="str">
        <f t="shared" si="9"/>
        <v/>
      </c>
      <c r="Y61" s="9" t="str">
        <f t="shared" si="10"/>
        <v/>
      </c>
      <c r="Z61" s="9" t="str">
        <f t="shared" si="11"/>
        <v/>
      </c>
    </row>
  </sheetData>
  <conditionalFormatting sqref="U22:U61">
    <cfRule type="cellIs" dxfId="1" priority="1" operator="notEqual">
      <formula>0</formula>
    </cfRule>
  </conditionalFormatting>
  <conditionalFormatting sqref="W22:W61">
    <cfRule type="cellIs" dxfId="0" priority="2" operator="notEqual">
      <formula>0</formula>
    </cfRule>
  </conditionalFormatting>
  <dataValidations count="1">
    <dataValidation type="list" showInputMessage="1" showErrorMessage="1" sqref="B2">
      <formula1>PumpIds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"/>
  <dimension ref="A1:M51"/>
  <sheetViews>
    <sheetView topLeftCell="A7" workbookViewId="0">
      <selection activeCell="E24" sqref="E24"/>
    </sheetView>
  </sheetViews>
  <sheetFormatPr defaultRowHeight="14.4" x14ac:dyDescent="0.3"/>
  <cols>
    <col min="6" max="6" width="8.88671875" customWidth="1"/>
    <col min="12" max="12" width="16.6640625" customWidth="1"/>
  </cols>
  <sheetData>
    <row r="1" spans="1:13" x14ac:dyDescent="0.3">
      <c r="A1" s="13" t="s">
        <v>858</v>
      </c>
      <c r="B1" s="12">
        <v>80</v>
      </c>
      <c r="C1" s="13" t="str">
        <f>[1]!ESP_name(B4)</f>
        <v>ЭЦН5А-280</v>
      </c>
      <c r="G1" s="13" t="s">
        <v>901</v>
      </c>
      <c r="H1" s="11">
        <v>0.6</v>
      </c>
      <c r="L1" s="13" t="s">
        <v>911</v>
      </c>
      <c r="M1" s="11">
        <f>H11</f>
        <v>1</v>
      </c>
    </row>
    <row r="2" spans="1:13" x14ac:dyDescent="0.3">
      <c r="A2" s="13" t="s">
        <v>859</v>
      </c>
      <c r="B2" s="12">
        <v>1500</v>
      </c>
      <c r="C2" s="14"/>
      <c r="G2" s="13" t="s">
        <v>902</v>
      </c>
      <c r="H2" s="11">
        <v>0.86</v>
      </c>
      <c r="L2" s="13" t="s">
        <v>912</v>
      </c>
      <c r="M2" s="17" t="str">
        <f>esp_json_1</f>
        <v>{"q_nom_sm3day":280,"head_nom_m":5.63,"freq_nom_Hz":50,"name":"ESP-280-6","ESP_ID":750,"num_stages":1,"gas_correct_model":1,"gas_correct_stage_by_stage":0,"calibr_head":1,"calibr_power":1,"calibr_rate":1,"dnum_stages_integrate":1}</v>
      </c>
    </row>
    <row r="3" spans="1:13" x14ac:dyDescent="0.3">
      <c r="A3" s="13" t="s">
        <v>860</v>
      </c>
      <c r="B3" s="12" t="s">
        <v>861</v>
      </c>
      <c r="C3" s="14">
        <v>2</v>
      </c>
      <c r="G3" s="13" t="s">
        <v>903</v>
      </c>
      <c r="H3" s="11">
        <v>1</v>
      </c>
      <c r="L3" s="13" t="s">
        <v>69</v>
      </c>
      <c r="M3" s="11">
        <f>B5</f>
        <v>50</v>
      </c>
    </row>
    <row r="4" spans="1:13" x14ac:dyDescent="0.3">
      <c r="A4" s="13" t="s">
        <v>862</v>
      </c>
      <c r="B4" s="16" t="str">
        <f>Проверка!B2</f>
        <v>750</v>
      </c>
      <c r="C4" s="14" t="s">
        <v>863</v>
      </c>
      <c r="G4" s="13" t="s">
        <v>904</v>
      </c>
      <c r="H4" s="11">
        <v>120</v>
      </c>
      <c r="L4" s="13" t="s">
        <v>913</v>
      </c>
      <c r="M4" s="11">
        <v>1</v>
      </c>
    </row>
    <row r="5" spans="1:13" x14ac:dyDescent="0.3">
      <c r="A5" s="13" t="s">
        <v>864</v>
      </c>
      <c r="B5" s="16">
        <f>[1]!esp_freq_nom(B4)</f>
        <v>50</v>
      </c>
      <c r="C5" s="14">
        <v>3</v>
      </c>
      <c r="G5" s="13" t="s">
        <v>905</v>
      </c>
      <c r="H5" s="11">
        <v>130</v>
      </c>
      <c r="L5" s="13" t="s">
        <v>914</v>
      </c>
      <c r="M5" s="15">
        <f>[1]!ESP_power_W(M1, M2, M3, M4)</f>
        <v>199.73781249999999</v>
      </c>
    </row>
    <row r="6" spans="1:13" x14ac:dyDescent="0.3">
      <c r="A6" s="13" t="s">
        <v>865</v>
      </c>
      <c r="B6" s="16">
        <v>1</v>
      </c>
      <c r="C6" s="14">
        <v>4</v>
      </c>
      <c r="G6" s="13" t="s">
        <v>906</v>
      </c>
      <c r="H6" s="11">
        <v>15</v>
      </c>
    </row>
    <row r="7" spans="1:13" x14ac:dyDescent="0.3">
      <c r="A7" s="13" t="s">
        <v>866</v>
      </c>
      <c r="B7" s="12">
        <v>1</v>
      </c>
      <c r="C7" s="14">
        <v>5</v>
      </c>
      <c r="G7" s="13" t="s">
        <v>907</v>
      </c>
      <c r="H7" s="11">
        <v>1.2</v>
      </c>
    </row>
    <row r="8" spans="1:13" x14ac:dyDescent="0.3">
      <c r="A8" s="13" t="s">
        <v>867</v>
      </c>
      <c r="B8" s="12">
        <v>1</v>
      </c>
      <c r="C8" s="14" t="s">
        <v>861</v>
      </c>
      <c r="G8" s="13" t="s">
        <v>908</v>
      </c>
      <c r="H8" s="11">
        <v>1</v>
      </c>
    </row>
    <row r="9" spans="1:13" x14ac:dyDescent="0.3">
      <c r="A9" s="13" t="s">
        <v>868</v>
      </c>
      <c r="B9" s="12">
        <v>1</v>
      </c>
      <c r="C9" s="14">
        <v>6</v>
      </c>
      <c r="G9" s="13" t="s">
        <v>909</v>
      </c>
      <c r="H9" s="11">
        <v>0</v>
      </c>
    </row>
    <row r="10" spans="1:13" x14ac:dyDescent="0.3">
      <c r="A10" s="13" t="s">
        <v>869</v>
      </c>
      <c r="B10" s="12">
        <v>1</v>
      </c>
      <c r="C10" s="14" t="s">
        <v>870</v>
      </c>
      <c r="G10" s="13" t="s">
        <v>910</v>
      </c>
      <c r="H10" s="15" t="str">
        <f>[1]!encode_PVT(H1,H2,H3,H4,H5,H6,H7,H8,H9)</f>
        <v>{"gamma_gas":0.6,"gamma_oil":0.86,"gamma_wat":1,"rsb_m3m3":120,"pb_atma":130,"t_res_C":15,"bob_m3m3":1.2,"muob_cP":1,"PVT_corr_set":0}</v>
      </c>
      <c r="I10" t="s">
        <v>888</v>
      </c>
    </row>
    <row r="11" spans="1:13" x14ac:dyDescent="0.3">
      <c r="A11" s="13" t="s">
        <v>871</v>
      </c>
      <c r="B11" s="12">
        <v>0</v>
      </c>
      <c r="C11" s="14">
        <v>7</v>
      </c>
      <c r="G11" s="13" t="s">
        <v>884</v>
      </c>
      <c r="H11" s="11">
        <v>1</v>
      </c>
    </row>
    <row r="12" spans="1:13" x14ac:dyDescent="0.3">
      <c r="A12" s="13" t="s">
        <v>872</v>
      </c>
      <c r="B12" s="12">
        <v>1</v>
      </c>
      <c r="C12" s="14" t="s">
        <v>873</v>
      </c>
      <c r="G12" s="13" t="s">
        <v>885</v>
      </c>
      <c r="H12" s="11">
        <v>100</v>
      </c>
    </row>
    <row r="13" spans="1:13" x14ac:dyDescent="0.3">
      <c r="A13" s="13" t="s">
        <v>874</v>
      </c>
      <c r="B13" s="15" t="str">
        <f>[1]!encode_ESP_pump(,, B5, B4, B6, B7, B8, B9, B10, B11, B12)</f>
        <v>{"q_nom_sm3day":280,"head_nom_m":5.63,"freq_nom_Hz":50,"name":"ESP-280-6","ESP_ID":750,"num_stages":1,"gas_correct_model":1,"gas_correct_stage_by_stage":0,"calibr_head":1,"calibr_power":1,"calibr_rate":1,"dnum_stages_integrate":1}</v>
      </c>
      <c r="C13" s="14"/>
      <c r="G13" s="13" t="s">
        <v>886</v>
      </c>
      <c r="H13" s="11">
        <v>120</v>
      </c>
    </row>
    <row r="14" spans="1:13" x14ac:dyDescent="0.3">
      <c r="G14" s="13" t="s">
        <v>887</v>
      </c>
      <c r="H14" s="11">
        <v>0</v>
      </c>
    </row>
    <row r="15" spans="1:13" x14ac:dyDescent="0.3">
      <c r="G15" s="13" t="s">
        <v>878</v>
      </c>
      <c r="H15" s="15" t="str">
        <f>[1]!encode_feed(H11,H12,H13,H14,H10)</f>
        <v>{"gamma_gas":0.6,"gamma_oil":0.86,"gamma_wat":1,"rsb_m3m3":120,"pb_atma":130,"t_res_C":15,"bob_m3m3":1.2,"muob_cP":1,"PVT_corr_set":0,"q_liq_sm3day":1,"fw_perc":100,"rp_m3m3":120}</v>
      </c>
      <c r="I15" t="s">
        <v>888</v>
      </c>
    </row>
    <row r="16" spans="1:13" x14ac:dyDescent="0.3">
      <c r="A16" s="13" t="s">
        <v>875</v>
      </c>
      <c r="B16" s="11">
        <v>100</v>
      </c>
    </row>
    <row r="17" spans="1:13" x14ac:dyDescent="0.3">
      <c r="A17" s="13" t="s">
        <v>876</v>
      </c>
      <c r="B17" s="11">
        <v>15</v>
      </c>
    </row>
    <row r="18" spans="1:13" x14ac:dyDescent="0.3">
      <c r="A18" s="13" t="s">
        <v>877</v>
      </c>
      <c r="B18" s="11">
        <v>-1</v>
      </c>
      <c r="G18">
        <f>[1]!PVT_rho_oil_kgm3(B30,D30,PVT_json)</f>
        <v>811.24859086329946</v>
      </c>
    </row>
    <row r="19" spans="1:13" x14ac:dyDescent="0.3">
      <c r="A19" s="13" t="s">
        <v>878</v>
      </c>
      <c r="B19" s="17" t="str">
        <f>feed_json</f>
        <v>{"gamma_gas":0.6,"gamma_oil":0.86,"gamma_wat":1,"rsb_m3m3":120,"pb_atma":130,"t_res_C":15,"bob_m3m3":1.2,"muob_cP":1,"PVT_corr_set":0,"q_liq_sm3day":1,"fw_perc":100,"rp_m3m3":120}</v>
      </c>
      <c r="C19" t="s">
        <v>888</v>
      </c>
      <c r="G19">
        <f>[1]!PVT_rho_wat_kgm3(B30,D30,PVT_json)</f>
        <v>1001.5497106221197</v>
      </c>
    </row>
    <row r="20" spans="1:13" x14ac:dyDescent="0.3">
      <c r="A20" s="13" t="s">
        <v>879</v>
      </c>
      <c r="B20" s="17" t="str">
        <f>esp_json_1</f>
        <v>{"q_nom_sm3day":280,"head_nom_m":5.63,"freq_nom_Hz":50,"name":"ESP-280-6","ESP_ID":750,"num_stages":1,"gas_correct_model":1,"gas_correct_stage_by_stage":0,"calibr_head":1,"calibr_power":1,"calibr_rate":1,"dnum_stages_integrate":1}</v>
      </c>
      <c r="C20" t="s">
        <v>888</v>
      </c>
    </row>
    <row r="21" spans="1:13" x14ac:dyDescent="0.3">
      <c r="A21" s="13" t="s">
        <v>69</v>
      </c>
      <c r="B21" s="11">
        <f>B5</f>
        <v>50</v>
      </c>
      <c r="C21" t="s">
        <v>888</v>
      </c>
    </row>
    <row r="22" spans="1:13" x14ac:dyDescent="0.3">
      <c r="A22" s="13" t="s">
        <v>880</v>
      </c>
      <c r="B22" s="11">
        <v>1</v>
      </c>
      <c r="C22" t="s">
        <v>888</v>
      </c>
    </row>
    <row r="23" spans="1:13" x14ac:dyDescent="0.3">
      <c r="A23" s="13" t="s">
        <v>881</v>
      </c>
      <c r="B23" s="11" t="s">
        <v>882</v>
      </c>
      <c r="C23" t="s">
        <v>888</v>
      </c>
    </row>
    <row r="24" spans="1:13" x14ac:dyDescent="0.3">
      <c r="A24" s="13" t="s">
        <v>883</v>
      </c>
      <c r="B24" s="11">
        <v>1000</v>
      </c>
    </row>
    <row r="25" spans="1:13" x14ac:dyDescent="0.3">
      <c r="A25" s="13" t="s">
        <v>884</v>
      </c>
      <c r="B25" s="11"/>
    </row>
    <row r="26" spans="1:13" x14ac:dyDescent="0.3">
      <c r="A26" s="13" t="s">
        <v>885</v>
      </c>
      <c r="B26" s="11"/>
      <c r="D26" s="13" t="s">
        <v>889</v>
      </c>
      <c r="E26" s="11">
        <v>1</v>
      </c>
    </row>
    <row r="27" spans="1:13" x14ac:dyDescent="0.3">
      <c r="A27" s="13" t="s">
        <v>886</v>
      </c>
      <c r="B27" s="11"/>
      <c r="D27" s="13" t="s">
        <v>890</v>
      </c>
      <c r="E27" s="11">
        <f>[1]!ESP_rate_max_sm3day(B20,B21,1)</f>
        <v>500</v>
      </c>
    </row>
    <row r="28" spans="1:13" x14ac:dyDescent="0.3">
      <c r="A28" s="13" t="s">
        <v>887</v>
      </c>
      <c r="B28" s="11"/>
      <c r="D28" s="13" t="s">
        <v>891</v>
      </c>
      <c r="E28" s="17" t="str">
        <f>[1]!encode_linspace(E26,E27,20)</f>
        <v>[1,25.95,50.9,75.85,100.8,125.75,150.7,175.65,200.6,225.55,250.5,275.45,300.4,325.35,350.3,375.25,400.2,425.15,450.1,475.05,500]</v>
      </c>
      <c r="F28" t="s">
        <v>888</v>
      </c>
    </row>
    <row r="29" spans="1:13" x14ac:dyDescent="0.3">
      <c r="A29" s="19" t="s">
        <v>884</v>
      </c>
      <c r="B29" s="19" t="s">
        <v>892</v>
      </c>
      <c r="C29" s="19" t="s">
        <v>893</v>
      </c>
      <c r="D29" s="19" t="s">
        <v>894</v>
      </c>
      <c r="E29" s="19" t="s">
        <v>892</v>
      </c>
      <c r="F29" s="19" t="s">
        <v>877</v>
      </c>
      <c r="G29" s="19" t="s">
        <v>895</v>
      </c>
      <c r="H29" s="19" t="s">
        <v>896</v>
      </c>
      <c r="I29" s="19" t="s">
        <v>897</v>
      </c>
      <c r="J29" s="19" t="s">
        <v>898</v>
      </c>
      <c r="K29" s="19" t="s">
        <v>899</v>
      </c>
      <c r="L29" s="18" t="s">
        <v>900</v>
      </c>
      <c r="M29" t="s">
        <v>888</v>
      </c>
    </row>
    <row r="30" spans="1:13" x14ac:dyDescent="0.3">
      <c r="A30" s="19">
        <f t="array" ref="A30:A50">[1]!decode_json(E28)</f>
        <v>1</v>
      </c>
      <c r="B30" s="19">
        <f t="array" ref="B30:L30">[1]!ESP_p_atma($B$16,$B$17,$B$18,$B$19,$B$20,$B$21,$B$22,$B$23,$B$24,$A$30,$B$26,$B$27,$B$28)</f>
        <v>100.65335557834047</v>
      </c>
      <c r="C30" s="19">
        <v>100</v>
      </c>
      <c r="D30" s="19">
        <v>15</v>
      </c>
      <c r="E30" s="19">
        <v>100.65335557834047</v>
      </c>
      <c r="F30" s="19">
        <v>19.123012277596786</v>
      </c>
      <c r="G30" s="21">
        <v>6.7379777413007256</v>
      </c>
      <c r="H30" s="19">
        <v>0.38243653655810189</v>
      </c>
      <c r="I30" s="19">
        <v>0.7650412227101866</v>
      </c>
      <c r="J30" s="19">
        <v>200.04396797322144</v>
      </c>
      <c r="K30" s="19">
        <v>1</v>
      </c>
      <c r="L30" s="18" t="str">
        <v>["set show_log=1 in param to show calc log"]</v>
      </c>
      <c r="M30" t="s">
        <v>888</v>
      </c>
    </row>
    <row r="31" spans="1:13" x14ac:dyDescent="0.3">
      <c r="A31" s="19">
        <v>25.95</v>
      </c>
      <c r="B31" s="19">
        <f t="array" ref="B31:L31">[1]!ESP_p_atma($B$16,$B$17,$B$18,$B$19,$B$20,$B$21,$B$22,$B$23,$B$24,$A$31,$B$26,$B$27,$B$28)</f>
        <v>100.62955095245648</v>
      </c>
      <c r="C31" s="19">
        <v>100</v>
      </c>
      <c r="D31" s="19">
        <v>15</v>
      </c>
      <c r="E31" s="19">
        <v>100.62955095245648</v>
      </c>
      <c r="F31" s="19">
        <v>15.159079052859544</v>
      </c>
      <c r="G31" s="21">
        <v>6.4924834887626597</v>
      </c>
      <c r="H31" s="19">
        <v>8.7487351185942774</v>
      </c>
      <c r="I31" s="19">
        <v>19.129493929312108</v>
      </c>
      <c r="J31" s="19">
        <v>218.65439597839583</v>
      </c>
      <c r="K31" s="19">
        <v>1</v>
      </c>
      <c r="L31" s="18" t="str">
        <v>["set show_log=1 in param to show calc log"]</v>
      </c>
      <c r="M31" t="s">
        <v>888</v>
      </c>
    </row>
    <row r="32" spans="1:13" x14ac:dyDescent="0.3">
      <c r="A32" s="19">
        <v>50.9</v>
      </c>
      <c r="B32" s="19">
        <f t="array" ref="B32:L32">[1]!ESP_p_atma($B$16,$B$17,$B$18,$B$19,$B$20,$B$21,$B$22,$B$23,$B$24,$A$32,$B$26,$B$27,$B$28)</f>
        <v>100.61592697221973</v>
      </c>
      <c r="C32" s="19">
        <v>100</v>
      </c>
      <c r="D32" s="19">
        <v>15</v>
      </c>
      <c r="E32" s="19">
        <v>100.61592697221973</v>
      </c>
      <c r="F32" s="19">
        <v>15.081700540422776</v>
      </c>
      <c r="G32" s="21">
        <v>6.3519810141126696</v>
      </c>
      <c r="H32" s="19">
        <v>15.443320949987699</v>
      </c>
      <c r="I32" s="19">
        <v>36.709818608748442</v>
      </c>
      <c r="J32" s="19">
        <v>237.70676480551731</v>
      </c>
      <c r="K32" s="19">
        <v>1</v>
      </c>
      <c r="L32" s="18" t="str">
        <v>["set show_log=1 in param to show calc log"]</v>
      </c>
      <c r="M32" t="s">
        <v>888</v>
      </c>
    </row>
    <row r="33" spans="1:13" x14ac:dyDescent="0.3">
      <c r="A33" s="19">
        <v>75.849999999999994</v>
      </c>
      <c r="B33" s="19">
        <f t="array" ref="B33:L33">[1]!ESP_p_atma($B$16,$B$17,$B$18,$B$19,$B$20,$B$21,$B$22,$B$23,$B$24,$A$33,$B$26,$B$27,$B$28)</f>
        <v>100.61244724897624</v>
      </c>
      <c r="C33" s="19">
        <v>100</v>
      </c>
      <c r="D33" s="19">
        <v>15</v>
      </c>
      <c r="E33" s="19">
        <v>100.61244724897624</v>
      </c>
      <c r="F33" s="19">
        <v>15.055299026331616</v>
      </c>
      <c r="G33" s="21">
        <v>6.3160950455255778</v>
      </c>
      <c r="H33" s="19">
        <v>21.155031390900366</v>
      </c>
      <c r="I33" s="19">
        <v>54.395065836603685</v>
      </c>
      <c r="J33" s="19">
        <v>257.12590462050179</v>
      </c>
      <c r="K33" s="19">
        <v>1</v>
      </c>
      <c r="L33" s="18" t="str">
        <v>["set show_log=1 in param to show calc log"]</v>
      </c>
      <c r="M33" t="s">
        <v>888</v>
      </c>
    </row>
    <row r="34" spans="1:13" x14ac:dyDescent="0.3">
      <c r="A34" s="19">
        <v>100.8</v>
      </c>
      <c r="B34" s="19">
        <f t="array" ref="B34:L34">[1]!ESP_p_atma($B$16,$B$17,$B$18,$B$19,$B$20,$B$21,$B$22,$B$23,$B$24,$A$34,$B$26,$B$27,$B$28)</f>
        <v>100.61532824870402</v>
      </c>
      <c r="C34" s="19">
        <v>100</v>
      </c>
      <c r="D34" s="19">
        <v>15</v>
      </c>
      <c r="E34" s="19">
        <v>100.61532824870402</v>
      </c>
      <c r="F34" s="19">
        <v>15.04172329748549</v>
      </c>
      <c r="G34" s="21">
        <v>6.3458064502828542</v>
      </c>
      <c r="H34" s="19">
        <v>26.32359236481372</v>
      </c>
      <c r="I34" s="19">
        <v>72.627754823487265</v>
      </c>
      <c r="J34" s="19">
        <v>275.90366017279428</v>
      </c>
      <c r="K34" s="19">
        <v>1</v>
      </c>
      <c r="L34" s="18" t="str">
        <v>["set show_log=1 in param to show calc log"]</v>
      </c>
      <c r="M34" t="s">
        <v>888</v>
      </c>
    </row>
    <row r="35" spans="1:13" x14ac:dyDescent="0.3">
      <c r="A35" s="19">
        <v>125.75</v>
      </c>
      <c r="B35" s="19">
        <f t="array" ref="B35:L35">[1]!ESP_p_atma($B$16,$B$17,$B$18,$B$19,$B$20,$B$21,$B$22,$B$23,$B$24,$A$35,$B$26,$B$27,$B$28)</f>
        <v>100.61834773427026</v>
      </c>
      <c r="C35" s="19">
        <v>100</v>
      </c>
      <c r="D35" s="19">
        <v>15</v>
      </c>
      <c r="E35" s="19">
        <v>100.61834773427026</v>
      </c>
      <c r="F35" s="19">
        <v>15.033510696260704</v>
      </c>
      <c r="G35" s="21">
        <v>6.3769460428875888</v>
      </c>
      <c r="H35" s="19">
        <v>30.892988405982901</v>
      </c>
      <c r="I35" s="19">
        <v>91.049172055572356</v>
      </c>
      <c r="J35" s="19">
        <v>294.72439137011196</v>
      </c>
      <c r="K35" s="19">
        <v>1</v>
      </c>
      <c r="L35" s="18" t="str">
        <v>["set show_log=1 in param to show calc log"]</v>
      </c>
      <c r="M35" t="s">
        <v>888</v>
      </c>
    </row>
    <row r="36" spans="1:13" x14ac:dyDescent="0.3">
      <c r="A36" s="19">
        <v>150.69999999999999</v>
      </c>
      <c r="B36" s="19">
        <f t="array" ref="B36:L36">[1]!ESP_p_atma($B$16,$B$17,$B$18,$B$19,$B$20,$B$21,$B$22,$B$23,$B$24,$A$36,$B$26,$B$27,$B$28)</f>
        <v>100.62136721983651</v>
      </c>
      <c r="C36" s="19">
        <v>100</v>
      </c>
      <c r="D36" s="19">
        <v>15</v>
      </c>
      <c r="E36" s="19">
        <v>100.62136721983651</v>
      </c>
      <c r="F36" s="19">
        <v>15.028084850617661</v>
      </c>
      <c r="G36" s="21">
        <v>6.4080856354923226</v>
      </c>
      <c r="H36" s="19">
        <v>34.895828957550847</v>
      </c>
      <c r="I36" s="19">
        <v>109.64701778571619</v>
      </c>
      <c r="J36" s="19">
        <v>314.21238887632296</v>
      </c>
      <c r="K36" s="19">
        <v>1</v>
      </c>
      <c r="L36" s="18" t="str">
        <v>["set show_log=1 in param to show calc log"]</v>
      </c>
      <c r="M36" t="s">
        <v>888</v>
      </c>
    </row>
    <row r="37" spans="1:13" x14ac:dyDescent="0.3">
      <c r="A37" s="19">
        <v>175.65</v>
      </c>
      <c r="B37" s="19">
        <f t="array" ref="B37:L37">[1]!ESP_p_atma($B$16,$B$17,$B$18,$B$19,$B$20,$B$21,$B$22,$B$23,$B$24,$A$37,$B$26,$B$27,$B$28)</f>
        <v>100.62223324448685</v>
      </c>
      <c r="C37" s="19">
        <v>100</v>
      </c>
      <c r="D37" s="19">
        <v>15</v>
      </c>
      <c r="E37" s="19">
        <v>100.62223324448685</v>
      </c>
      <c r="F37" s="19">
        <v>15.024154816793944</v>
      </c>
      <c r="G37" s="21">
        <v>6.417016843873899</v>
      </c>
      <c r="H37" s="19">
        <v>38.426552306253029</v>
      </c>
      <c r="I37" s="19">
        <v>127.97837702112822</v>
      </c>
      <c r="J37" s="19">
        <v>333.04673289750929</v>
      </c>
      <c r="K37" s="19">
        <v>1</v>
      </c>
      <c r="L37" s="18" t="str">
        <v>["set show_log=1 in param to show calc log"]</v>
      </c>
      <c r="M37" t="s">
        <v>888</v>
      </c>
    </row>
    <row r="38" spans="1:13" x14ac:dyDescent="0.3">
      <c r="A38" s="19">
        <v>200.6</v>
      </c>
      <c r="B38" s="19">
        <f t="array" ref="B38:L38">[1]!ESP_p_atma($B$16,$B$17,$B$18,$B$19,$B$20,$B$21,$B$22,$B$23,$B$24,$A$38,$B$26,$B$27,$B$28)</f>
        <v>100.615634416679</v>
      </c>
      <c r="C38" s="19">
        <v>100</v>
      </c>
      <c r="D38" s="19">
        <v>15</v>
      </c>
      <c r="E38" s="19">
        <v>100.615634416679</v>
      </c>
      <c r="F38" s="19">
        <v>15.021365464885475</v>
      </c>
      <c r="G38" s="21">
        <v>6.3489639238990145</v>
      </c>
      <c r="H38" s="19">
        <v>41.109615768196633</v>
      </c>
      <c r="I38" s="19">
        <v>144.60691227252244</v>
      </c>
      <c r="J38" s="19">
        <v>351.75933798046771</v>
      </c>
      <c r="K38" s="19">
        <v>1</v>
      </c>
      <c r="L38" s="18" t="str">
        <v>["set show_log=1 in param to show calc log"]</v>
      </c>
      <c r="M38" t="s">
        <v>888</v>
      </c>
    </row>
    <row r="39" spans="1:13" x14ac:dyDescent="0.3">
      <c r="A39" s="19">
        <v>225.55</v>
      </c>
      <c r="B39" s="19">
        <f t="array" ref="B39:L39">[1]!ESP_p_atma($B$16,$B$17,$B$18,$B$19,$B$20,$B$21,$B$22,$B$23,$B$24,$A$39,$B$26,$B$27,$B$28)</f>
        <v>100.60279813720008</v>
      </c>
      <c r="C39" s="19">
        <v>100</v>
      </c>
      <c r="D39" s="19">
        <v>15</v>
      </c>
      <c r="E39" s="19">
        <v>100.60279813720008</v>
      </c>
      <c r="F39" s="19">
        <v>15.019362319312862</v>
      </c>
      <c r="G39" s="21">
        <v>6.2165849127182993</v>
      </c>
      <c r="H39" s="19">
        <v>42.994887480161239</v>
      </c>
      <c r="I39" s="19">
        <v>159.20253046868103</v>
      </c>
      <c r="J39" s="19">
        <v>370.28246798445622</v>
      </c>
      <c r="K39" s="19">
        <v>1</v>
      </c>
      <c r="L39" s="18" t="str">
        <v>["set show_log=1 in param to show calc log"]</v>
      </c>
      <c r="M39" t="s">
        <v>888</v>
      </c>
    </row>
    <row r="40" spans="1:13" x14ac:dyDescent="0.3">
      <c r="A40" s="19">
        <v>250.5</v>
      </c>
      <c r="B40" s="19">
        <f t="array" ref="B40:L40">[1]!ESP_p_atma($B$16,$B$17,$B$18,$B$19,$B$20,$B$21,$B$22,$B$23,$B$24,$A$40,$B$26,$B$27,$B$28)</f>
        <v>100.58189529008249</v>
      </c>
      <c r="C40" s="19">
        <v>100</v>
      </c>
      <c r="D40" s="19">
        <v>15</v>
      </c>
      <c r="E40" s="19">
        <v>100.58189529008249</v>
      </c>
      <c r="F40" s="19">
        <v>15.017922289794251</v>
      </c>
      <c r="G40" s="21">
        <v>6.0010163566712498</v>
      </c>
      <c r="H40" s="19">
        <v>44.026961608386287</v>
      </c>
      <c r="I40" s="19">
        <v>170.68203240701058</v>
      </c>
      <c r="J40" s="19">
        <v>387.67615609090529</v>
      </c>
      <c r="K40" s="19">
        <v>1</v>
      </c>
      <c r="L40" s="18" t="str">
        <v>["set show_log=1 in param to show calc log"]</v>
      </c>
      <c r="M40" t="s">
        <v>888</v>
      </c>
    </row>
    <row r="41" spans="1:13" x14ac:dyDescent="0.3">
      <c r="A41" s="19">
        <v>275.45</v>
      </c>
      <c r="B41" s="19">
        <f t="array" ref="B41:L41">[1]!ESP_p_atma($B$16,$B$17,$B$18,$B$19,$B$20,$B$21,$B$22,$B$23,$B$24,$A$41,$B$26,$B$27,$B$28)</f>
        <v>100.55264713186666</v>
      </c>
      <c r="C41" s="19">
        <v>100</v>
      </c>
      <c r="D41" s="19">
        <v>15</v>
      </c>
      <c r="E41" s="19">
        <v>100.55264713186666</v>
      </c>
      <c r="F41" s="19">
        <v>15.017042404860625</v>
      </c>
      <c r="G41" s="21">
        <v>5.6993836078810398</v>
      </c>
      <c r="H41" s="19">
        <v>43.996645736820788</v>
      </c>
      <c r="I41" s="19">
        <v>178.24851917937573</v>
      </c>
      <c r="J41" s="19">
        <v>405.14115609090527</v>
      </c>
      <c r="K41" s="19">
        <v>1</v>
      </c>
      <c r="L41" s="18" t="str">
        <v>["set show_log=1 in param to show calc log"]</v>
      </c>
      <c r="M41" t="s">
        <v>888</v>
      </c>
    </row>
    <row r="42" spans="1:13" x14ac:dyDescent="0.3">
      <c r="A42" s="19">
        <v>300.39999999999998</v>
      </c>
      <c r="B42" s="19">
        <f t="array" ref="B42:L42">[1]!ESP_p_atma($B$16,$B$17,$B$18,$B$19,$B$20,$B$21,$B$22,$B$23,$B$24,$A$42,$B$26,$B$27,$B$28)</f>
        <v>100.51499543406676</v>
      </c>
      <c r="C42" s="19">
        <v>100</v>
      </c>
      <c r="D42" s="19">
        <v>15</v>
      </c>
      <c r="E42" s="19">
        <v>100.51499543406676</v>
      </c>
      <c r="F42" s="19">
        <v>15.016492320569846</v>
      </c>
      <c r="G42" s="21">
        <v>5.3110861629547159</v>
      </c>
      <c r="H42" s="19">
        <v>43.068668070973985</v>
      </c>
      <c r="I42" s="19">
        <v>181.15008425554589</v>
      </c>
      <c r="J42" s="19">
        <v>420.60758404932312</v>
      </c>
      <c r="K42" s="19">
        <v>1</v>
      </c>
      <c r="L42" s="18" t="str">
        <v>["set show_log=1 in param to show calc log"]</v>
      </c>
      <c r="M42" t="s">
        <v>888</v>
      </c>
    </row>
    <row r="43" spans="1:13" x14ac:dyDescent="0.3">
      <c r="A43" s="19">
        <v>325.35000000000002</v>
      </c>
      <c r="B43" s="19">
        <f t="array" ref="B43:L43">[1]!ESP_p_atma($B$16,$B$17,$B$18,$B$19,$B$20,$B$21,$B$22,$B$23,$B$24,$A$43,$B$26,$B$27,$B$28)</f>
        <v>100.46834958086269</v>
      </c>
      <c r="C43" s="19">
        <v>100</v>
      </c>
      <c r="D43" s="19">
        <v>15</v>
      </c>
      <c r="E43" s="19">
        <v>100.46834958086269</v>
      </c>
      <c r="F43" s="19">
        <v>15.01641586544471</v>
      </c>
      <c r="G43" s="21">
        <v>4.830033071755377</v>
      </c>
      <c r="H43" s="19">
        <v>40.869893128550352</v>
      </c>
      <c r="I43" s="19">
        <v>178.42519513398096</v>
      </c>
      <c r="J43" s="19">
        <v>436.56878321842009</v>
      </c>
      <c r="K43" s="19">
        <v>1</v>
      </c>
      <c r="L43" s="18" t="str">
        <v>["set show_log=1 in param to show calc log"]</v>
      </c>
      <c r="M43" t="s">
        <v>888</v>
      </c>
    </row>
    <row r="44" spans="1:13" x14ac:dyDescent="0.3">
      <c r="A44" s="19">
        <v>350.3</v>
      </c>
      <c r="B44" s="19">
        <f t="array" ref="B44:L44">[1]!ESP_p_atma($B$16,$B$17,$B$18,$B$19,$B$20,$B$21,$B$22,$B$23,$B$24,$A$44,$B$26,$B$27,$B$28)</f>
        <v>100.41364551083082</v>
      </c>
      <c r="C44" s="19">
        <v>100</v>
      </c>
      <c r="D44" s="19">
        <v>15</v>
      </c>
      <c r="E44" s="19">
        <v>100.41364551083082</v>
      </c>
      <c r="F44" s="19">
        <v>15.016590249720489</v>
      </c>
      <c r="G44" s="21">
        <v>4.2658765566008654</v>
      </c>
      <c r="H44" s="19">
        <v>37.657316603178472</v>
      </c>
      <c r="I44" s="19">
        <v>169.66946333096237</v>
      </c>
      <c r="J44" s="19">
        <v>450.56174639018593</v>
      </c>
      <c r="K44" s="19">
        <v>1</v>
      </c>
      <c r="L44" s="18" t="str">
        <v>["set show_log=1 in param to show calc log"]</v>
      </c>
      <c r="M44" t="s">
        <v>888</v>
      </c>
    </row>
    <row r="45" spans="1:13" x14ac:dyDescent="0.3">
      <c r="A45" s="19">
        <v>375.25</v>
      </c>
      <c r="B45" s="19">
        <f t="array" ref="B45:L45">[1]!ESP_p_atma($B$16,$B$17,$B$18,$B$19,$B$20,$B$21,$B$22,$B$23,$B$24,$A$45,$B$26,$B$27,$B$28)</f>
        <v>100.35191460752078</v>
      </c>
      <c r="C45" s="19">
        <v>100</v>
      </c>
      <c r="D45" s="19">
        <v>15</v>
      </c>
      <c r="E45" s="19">
        <v>100.35191460752078</v>
      </c>
      <c r="F45" s="19">
        <v>15.017057396340789</v>
      </c>
      <c r="G45" s="21">
        <v>3.6292531523744831</v>
      </c>
      <c r="H45" s="19">
        <v>33.325302147755565</v>
      </c>
      <c r="I45" s="19">
        <v>154.62981224136377</v>
      </c>
      <c r="J45" s="19">
        <v>464.00123112395539</v>
      </c>
      <c r="K45" s="19">
        <v>1</v>
      </c>
      <c r="L45" s="18" t="str">
        <v>["set show_log=1 in param to show calc log"]</v>
      </c>
      <c r="M45" t="s">
        <v>888</v>
      </c>
    </row>
    <row r="46" spans="1:13" x14ac:dyDescent="0.3">
      <c r="A46" s="19">
        <v>400.2</v>
      </c>
      <c r="B46" s="19">
        <f t="array" ref="B46:L46">[1]!ESP_p_atma($B$16,$B$17,$B$18,$B$19,$B$20,$B$21,$B$22,$B$23,$B$24,$A$46,$B$26,$B$27,$B$28)</f>
        <v>100.28433007743632</v>
      </c>
      <c r="C46" s="19">
        <v>100</v>
      </c>
      <c r="D46" s="19">
        <v>15</v>
      </c>
      <c r="E46" s="19">
        <v>100.28433007743632</v>
      </c>
      <c r="F46" s="19">
        <v>15.01774776692085</v>
      </c>
      <c r="G46" s="21">
        <v>2.9322619970804138</v>
      </c>
      <c r="H46" s="19">
        <v>27.960190608664654</v>
      </c>
      <c r="I46" s="19">
        <v>133.24015248358583</v>
      </c>
      <c r="J46" s="19">
        <v>476.53520803358077</v>
      </c>
      <c r="K46" s="19">
        <v>1</v>
      </c>
      <c r="L46" s="18" t="str">
        <v>["set show_log=1 in param to show calc log"]</v>
      </c>
      <c r="M46" t="s">
        <v>888</v>
      </c>
    </row>
    <row r="47" spans="1:13" x14ac:dyDescent="0.3">
      <c r="A47" s="19">
        <v>425.15</v>
      </c>
      <c r="B47" s="19">
        <f t="array" ref="B47:L47">[1]!ESP_p_atma($B$16,$B$17,$B$18,$B$19,$B$20,$B$21,$B$22,$B$23,$B$24,$A$47,$B$26,$B$27,$B$28)</f>
        <v>100.21244556037203</v>
      </c>
      <c r="C47" s="19">
        <v>100</v>
      </c>
      <c r="D47" s="19">
        <v>15</v>
      </c>
      <c r="E47" s="19">
        <v>100.21244556037203</v>
      </c>
      <c r="F47" s="19">
        <v>15.018554351558874</v>
      </c>
      <c r="G47" s="21">
        <v>2.1909255916369892</v>
      </c>
      <c r="H47" s="19">
        <v>21.715355683959558</v>
      </c>
      <c r="I47" s="19">
        <v>105.76088506875706</v>
      </c>
      <c r="J47" s="19">
        <v>487.03270905610475</v>
      </c>
      <c r="K47" s="19">
        <v>1</v>
      </c>
      <c r="L47" s="18" t="str">
        <v>["set show_log=1 in param to show calc log"]</v>
      </c>
      <c r="M47" t="s">
        <v>888</v>
      </c>
    </row>
    <row r="48" spans="1:13" x14ac:dyDescent="0.3">
      <c r="A48" s="19">
        <v>450.1</v>
      </c>
      <c r="B48" s="19">
        <f t="array" ref="B48:L48">[1]!ESP_p_atma($B$16,$B$17,$B$18,$B$19,$B$20,$B$21,$B$22,$B$23,$B$24,$A$48,$B$26,$B$27,$B$28)</f>
        <v>100.14056537355694</v>
      </c>
      <c r="C48" s="19">
        <v>100</v>
      </c>
      <c r="D48" s="19">
        <v>15</v>
      </c>
      <c r="E48" s="19">
        <v>100.14056537355694</v>
      </c>
      <c r="F48" s="19">
        <v>15.0194020285291</v>
      </c>
      <c r="G48" s="21">
        <v>1.4496338435343241</v>
      </c>
      <c r="H48" s="19">
        <v>14.931062304636525</v>
      </c>
      <c r="I48" s="19">
        <v>74.083688577347004</v>
      </c>
      <c r="J48" s="19">
        <v>496.1715855565206</v>
      </c>
      <c r="K48" s="19">
        <v>1</v>
      </c>
      <c r="L48" s="18" t="str">
        <v>["set show_log=1 in param to show calc log"]</v>
      </c>
      <c r="M48" t="s">
        <v>888</v>
      </c>
    </row>
    <row r="49" spans="1:13" x14ac:dyDescent="0.3">
      <c r="A49" s="19">
        <v>475.05</v>
      </c>
      <c r="B49" s="19">
        <f t="array" ref="B49:L49">[1]!ESP_p_atma($B$16,$B$17,$B$18,$B$19,$B$20,$B$21,$B$22,$B$23,$B$24,$A$49,$B$26,$B$27,$B$28)</f>
        <v>100.069030867382</v>
      </c>
      <c r="C49" s="19">
        <v>100</v>
      </c>
      <c r="D49" s="19">
        <v>15</v>
      </c>
      <c r="E49" s="19">
        <v>100.069030867382</v>
      </c>
      <c r="F49" s="19">
        <v>15.02029136030316</v>
      </c>
      <c r="G49" s="21">
        <v>0.71190705842597679</v>
      </c>
      <c r="H49" s="19">
        <v>7.6142258764356594</v>
      </c>
      <c r="I49" s="19">
        <v>38.398820670284763</v>
      </c>
      <c r="J49" s="19">
        <v>504.30367175106528</v>
      </c>
      <c r="K49" s="19">
        <v>1</v>
      </c>
      <c r="L49" s="18" t="str">
        <v>["set show_log=1 in param to show calc log"]</v>
      </c>
      <c r="M49" t="s">
        <v>888</v>
      </c>
    </row>
    <row r="50" spans="1:13" x14ac:dyDescent="0.3">
      <c r="A50" s="19">
        <v>500</v>
      </c>
      <c r="B50" s="19">
        <f t="array" ref="B50:L50">[1]!ESP_p_atma($B$16,$B$17,$B$18,$B$19,$B$20,$B$21,$B$22,$B$23,$B$24,$A$50,$B$26,$B$27,$B$28)</f>
        <v>100.00200032619516</v>
      </c>
      <c r="C50" s="19">
        <v>100</v>
      </c>
      <c r="D50" s="19">
        <v>15</v>
      </c>
      <c r="E50" s="19">
        <v>100.00200032619516</v>
      </c>
      <c r="F50" s="19">
        <v>15.021040920958566</v>
      </c>
      <c r="G50" s="21">
        <v>2.0629124209088866E-2</v>
      </c>
      <c r="H50" s="19">
        <v>0.22978700392595405</v>
      </c>
      <c r="I50" s="19">
        <v>1.171132572286816</v>
      </c>
      <c r="J50" s="19">
        <v>509.66005573761629</v>
      </c>
      <c r="K50" s="19">
        <v>1</v>
      </c>
      <c r="L50" s="18" t="str">
        <v>["set show_log=1 in param to show calc log"]</v>
      </c>
      <c r="M50" t="s">
        <v>888</v>
      </c>
    </row>
    <row r="51" spans="1:13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</sheetData>
  <dataValidations disablePrompts="1" count="1">
    <dataValidation type="list" allowBlank="1" showInputMessage="1" showErrorMessage="1" sqref="B3">
      <formula1>C7:C8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I57"/>
  <sheetViews>
    <sheetView workbookViewId="0">
      <pane ySplit="1" topLeftCell="A2" activePane="bottomLeft" state="frozen"/>
      <selection pane="bottomLeft" activeCell="K10" sqref="K10"/>
    </sheetView>
  </sheetViews>
  <sheetFormatPr defaultRowHeight="14.4" x14ac:dyDescent="0.3"/>
  <cols>
    <col min="1" max="1" width="14" customWidth="1"/>
    <col min="2" max="2" width="28" customWidth="1"/>
    <col min="3" max="3" width="18" customWidth="1"/>
    <col min="4" max="4" width="12" customWidth="1"/>
    <col min="5" max="5" width="15" customWidth="1"/>
    <col min="6" max="7" width="14" customWidth="1"/>
    <col min="8" max="8" width="10" customWidth="1"/>
    <col min="9" max="9" width="14" customWidth="1"/>
  </cols>
  <sheetData>
    <row r="1" spans="1:9" x14ac:dyDescent="0.3">
      <c r="A1" s="10" t="s">
        <v>62</v>
      </c>
      <c r="B1" s="10" t="s">
        <v>63</v>
      </c>
      <c r="C1" s="10" t="s">
        <v>64</v>
      </c>
      <c r="D1" s="10" t="s">
        <v>65</v>
      </c>
      <c r="E1" s="10" t="s">
        <v>66</v>
      </c>
      <c r="F1" s="10" t="s">
        <v>67</v>
      </c>
      <c r="G1" s="10" t="s">
        <v>68</v>
      </c>
      <c r="H1" s="10" t="s">
        <v>69</v>
      </c>
      <c r="I1" s="10" t="s">
        <v>70</v>
      </c>
    </row>
    <row r="2" spans="1:9" x14ac:dyDescent="0.3">
      <c r="A2" t="s">
        <v>71</v>
      </c>
      <c r="B2" t="s">
        <v>72</v>
      </c>
      <c r="C2" t="s">
        <v>73</v>
      </c>
      <c r="D2" t="s">
        <v>74</v>
      </c>
      <c r="E2">
        <v>360</v>
      </c>
      <c r="F2">
        <v>4.6039275063908018</v>
      </c>
      <c r="G2">
        <v>0.33672050955614857</v>
      </c>
      <c r="H2">
        <v>50</v>
      </c>
      <c r="I2">
        <v>2910</v>
      </c>
    </row>
    <row r="3" spans="1:9" x14ac:dyDescent="0.3">
      <c r="A3" t="s">
        <v>75</v>
      </c>
      <c r="B3" t="s">
        <v>76</v>
      </c>
      <c r="C3" t="s">
        <v>77</v>
      </c>
      <c r="D3" t="s">
        <v>78</v>
      </c>
      <c r="E3">
        <v>30</v>
      </c>
      <c r="F3">
        <v>2.7</v>
      </c>
      <c r="G3">
        <v>1.9E-2</v>
      </c>
      <c r="H3">
        <v>50</v>
      </c>
      <c r="I3">
        <v>2910</v>
      </c>
    </row>
    <row r="4" spans="1:9" x14ac:dyDescent="0.3">
      <c r="A4" t="s">
        <v>79</v>
      </c>
      <c r="B4" t="s">
        <v>80</v>
      </c>
      <c r="C4" t="s">
        <v>77</v>
      </c>
      <c r="D4" t="s">
        <v>78</v>
      </c>
      <c r="E4">
        <v>50</v>
      </c>
      <c r="F4">
        <v>2.8</v>
      </c>
      <c r="G4">
        <v>2.5000000000000001E-2</v>
      </c>
      <c r="H4">
        <v>50</v>
      </c>
      <c r="I4">
        <v>2910</v>
      </c>
    </row>
    <row r="5" spans="1:9" x14ac:dyDescent="0.3">
      <c r="A5" t="s">
        <v>81</v>
      </c>
      <c r="B5" t="s">
        <v>82</v>
      </c>
      <c r="C5" t="s">
        <v>77</v>
      </c>
      <c r="D5" t="s">
        <v>83</v>
      </c>
      <c r="E5">
        <v>90</v>
      </c>
      <c r="F5">
        <v>19.670000000000002</v>
      </c>
      <c r="G5">
        <v>0.371</v>
      </c>
      <c r="H5">
        <v>108</v>
      </c>
      <c r="I5">
        <v>6450</v>
      </c>
    </row>
    <row r="6" spans="1:9" x14ac:dyDescent="0.3">
      <c r="A6" t="s">
        <v>84</v>
      </c>
      <c r="B6" t="s">
        <v>85</v>
      </c>
      <c r="C6" t="s">
        <v>77</v>
      </c>
      <c r="D6" t="s">
        <v>86</v>
      </c>
      <c r="E6">
        <v>20</v>
      </c>
      <c r="F6">
        <v>4.5</v>
      </c>
      <c r="G6">
        <v>0.03</v>
      </c>
      <c r="H6">
        <v>50</v>
      </c>
      <c r="I6">
        <v>2820</v>
      </c>
    </row>
    <row r="7" spans="1:9" x14ac:dyDescent="0.3">
      <c r="A7" t="s">
        <v>87</v>
      </c>
      <c r="B7" t="s">
        <v>88</v>
      </c>
      <c r="C7" t="s">
        <v>77</v>
      </c>
      <c r="D7" t="s">
        <v>86</v>
      </c>
      <c r="E7">
        <v>200</v>
      </c>
      <c r="F7">
        <v>3.6</v>
      </c>
      <c r="G7">
        <v>0.154</v>
      </c>
      <c r="H7">
        <v>50</v>
      </c>
      <c r="I7">
        <v>2820</v>
      </c>
    </row>
    <row r="8" spans="1:9" x14ac:dyDescent="0.3">
      <c r="A8" t="s">
        <v>12</v>
      </c>
      <c r="B8" t="s">
        <v>89</v>
      </c>
      <c r="C8" t="s">
        <v>77</v>
      </c>
      <c r="D8" t="s">
        <v>86</v>
      </c>
      <c r="E8">
        <v>30</v>
      </c>
      <c r="F8">
        <v>4.0999999999999996</v>
      </c>
      <c r="G8">
        <v>3.5000000000000003E-2</v>
      </c>
      <c r="H8">
        <v>50</v>
      </c>
      <c r="I8">
        <v>2820</v>
      </c>
    </row>
    <row r="9" spans="1:9" x14ac:dyDescent="0.3">
      <c r="A9" t="s">
        <v>90</v>
      </c>
      <c r="B9" t="s">
        <v>91</v>
      </c>
      <c r="C9" t="s">
        <v>77</v>
      </c>
      <c r="D9" t="s">
        <v>92</v>
      </c>
      <c r="E9">
        <v>100</v>
      </c>
      <c r="F9">
        <v>5.8</v>
      </c>
      <c r="G9">
        <v>0.11</v>
      </c>
      <c r="H9">
        <v>50</v>
      </c>
      <c r="I9">
        <v>2910</v>
      </c>
    </row>
    <row r="10" spans="1:9" x14ac:dyDescent="0.3">
      <c r="A10" t="s">
        <v>93</v>
      </c>
      <c r="B10" t="s">
        <v>94</v>
      </c>
      <c r="C10" t="s">
        <v>77</v>
      </c>
      <c r="D10" t="s">
        <v>92</v>
      </c>
      <c r="E10">
        <v>125</v>
      </c>
      <c r="F10">
        <v>5.8</v>
      </c>
      <c r="G10">
        <v>0.14799999999999999</v>
      </c>
      <c r="H10">
        <v>50</v>
      </c>
      <c r="I10">
        <v>2910</v>
      </c>
    </row>
    <row r="11" spans="1:9" x14ac:dyDescent="0.3">
      <c r="A11" t="s">
        <v>95</v>
      </c>
      <c r="B11" t="s">
        <v>94</v>
      </c>
      <c r="C11" t="s">
        <v>77</v>
      </c>
      <c r="D11" t="s">
        <v>92</v>
      </c>
      <c r="E11">
        <v>150</v>
      </c>
      <c r="F11">
        <v>8.2708763107915093</v>
      </c>
      <c r="G11">
        <v>0.25646550328519102</v>
      </c>
      <c r="H11">
        <v>60</v>
      </c>
      <c r="I11">
        <v>3500</v>
      </c>
    </row>
    <row r="12" spans="1:9" x14ac:dyDescent="0.3">
      <c r="A12" t="s">
        <v>96</v>
      </c>
      <c r="B12" t="s">
        <v>97</v>
      </c>
      <c r="C12" t="s">
        <v>77</v>
      </c>
      <c r="D12" t="s">
        <v>92</v>
      </c>
      <c r="E12">
        <v>15</v>
      </c>
      <c r="F12">
        <v>5.5</v>
      </c>
      <c r="G12">
        <v>3.1E-2</v>
      </c>
      <c r="H12">
        <v>50</v>
      </c>
      <c r="I12">
        <v>2910</v>
      </c>
    </row>
    <row r="13" spans="1:9" x14ac:dyDescent="0.3">
      <c r="A13" t="s">
        <v>98</v>
      </c>
      <c r="B13" t="s">
        <v>99</v>
      </c>
      <c r="C13" t="s">
        <v>77</v>
      </c>
      <c r="D13" t="s">
        <v>92</v>
      </c>
      <c r="E13">
        <v>20</v>
      </c>
      <c r="F13">
        <v>4.7</v>
      </c>
      <c r="G13">
        <v>3.2000000000000001E-2</v>
      </c>
      <c r="H13">
        <v>50</v>
      </c>
      <c r="I13">
        <v>2910</v>
      </c>
    </row>
    <row r="14" spans="1:9" x14ac:dyDescent="0.3">
      <c r="A14" t="s">
        <v>100</v>
      </c>
      <c r="B14" t="s">
        <v>101</v>
      </c>
      <c r="C14" t="s">
        <v>77</v>
      </c>
      <c r="D14" t="s">
        <v>92</v>
      </c>
      <c r="E14">
        <v>25</v>
      </c>
      <c r="F14">
        <v>4.5199999999999996</v>
      </c>
      <c r="G14">
        <v>3.6999999999999998E-2</v>
      </c>
      <c r="H14">
        <v>50</v>
      </c>
      <c r="I14">
        <v>2910</v>
      </c>
    </row>
    <row r="15" spans="1:9" x14ac:dyDescent="0.3">
      <c r="A15" t="s">
        <v>102</v>
      </c>
      <c r="B15" t="s">
        <v>103</v>
      </c>
      <c r="C15" t="s">
        <v>77</v>
      </c>
      <c r="D15" t="s">
        <v>92</v>
      </c>
      <c r="E15">
        <v>30</v>
      </c>
      <c r="F15">
        <v>4.8</v>
      </c>
      <c r="G15">
        <v>3.6999999999999998E-2</v>
      </c>
      <c r="H15">
        <v>50</v>
      </c>
      <c r="I15">
        <v>2910</v>
      </c>
    </row>
    <row r="16" spans="1:9" x14ac:dyDescent="0.3">
      <c r="A16" t="s">
        <v>104</v>
      </c>
      <c r="B16" t="s">
        <v>105</v>
      </c>
      <c r="C16" t="s">
        <v>77</v>
      </c>
      <c r="D16" t="s">
        <v>92</v>
      </c>
      <c r="E16">
        <v>35</v>
      </c>
      <c r="F16">
        <v>4.5999999999999996</v>
      </c>
      <c r="G16">
        <v>4.2000000000000003E-2</v>
      </c>
      <c r="H16">
        <v>50</v>
      </c>
      <c r="I16">
        <v>2910</v>
      </c>
    </row>
    <row r="17" spans="1:9" x14ac:dyDescent="0.3">
      <c r="A17" t="s">
        <v>106</v>
      </c>
      <c r="B17" t="s">
        <v>107</v>
      </c>
      <c r="C17" t="s">
        <v>77</v>
      </c>
      <c r="D17" t="s">
        <v>92</v>
      </c>
      <c r="E17">
        <v>44</v>
      </c>
      <c r="F17">
        <v>5.5</v>
      </c>
      <c r="G17">
        <v>5.8000000000000003E-2</v>
      </c>
      <c r="H17">
        <v>50</v>
      </c>
      <c r="I17">
        <v>2910</v>
      </c>
    </row>
    <row r="18" spans="1:9" x14ac:dyDescent="0.3">
      <c r="A18" t="s">
        <v>108</v>
      </c>
      <c r="B18" t="s">
        <v>109</v>
      </c>
      <c r="C18" t="s">
        <v>77</v>
      </c>
      <c r="D18" t="s">
        <v>92</v>
      </c>
      <c r="E18">
        <v>50</v>
      </c>
      <c r="F18">
        <v>5.0999999999999996</v>
      </c>
      <c r="G18">
        <v>0.06</v>
      </c>
      <c r="H18">
        <v>50</v>
      </c>
      <c r="I18">
        <v>2910</v>
      </c>
    </row>
    <row r="19" spans="1:9" x14ac:dyDescent="0.3">
      <c r="A19" t="s">
        <v>110</v>
      </c>
      <c r="B19" t="s">
        <v>111</v>
      </c>
      <c r="C19" t="s">
        <v>77</v>
      </c>
      <c r="D19" t="s">
        <v>92</v>
      </c>
      <c r="E19">
        <v>500</v>
      </c>
      <c r="F19">
        <v>3.4</v>
      </c>
      <c r="G19">
        <v>0.3</v>
      </c>
      <c r="H19">
        <v>50</v>
      </c>
      <c r="I19">
        <v>2910</v>
      </c>
    </row>
    <row r="20" spans="1:9" x14ac:dyDescent="0.3">
      <c r="A20" t="s">
        <v>112</v>
      </c>
      <c r="B20" t="s">
        <v>113</v>
      </c>
      <c r="C20" t="s">
        <v>77</v>
      </c>
      <c r="D20" t="s">
        <v>92</v>
      </c>
      <c r="E20">
        <v>59</v>
      </c>
      <c r="F20">
        <v>5.55</v>
      </c>
      <c r="G20">
        <v>7.2999999999999995E-2</v>
      </c>
      <c r="H20">
        <v>50</v>
      </c>
      <c r="I20">
        <v>2910</v>
      </c>
    </row>
    <row r="21" spans="1:9" x14ac:dyDescent="0.3">
      <c r="A21" t="s">
        <v>114</v>
      </c>
      <c r="B21" t="s">
        <v>115</v>
      </c>
      <c r="C21" t="s">
        <v>77</v>
      </c>
      <c r="D21" t="s">
        <v>92</v>
      </c>
      <c r="E21">
        <v>79</v>
      </c>
      <c r="F21">
        <v>6.46</v>
      </c>
      <c r="G21">
        <v>0.105</v>
      </c>
      <c r="H21">
        <v>50</v>
      </c>
      <c r="I21">
        <v>2910</v>
      </c>
    </row>
    <row r="22" spans="1:9" x14ac:dyDescent="0.3">
      <c r="A22" t="s">
        <v>116</v>
      </c>
      <c r="B22" t="s">
        <v>117</v>
      </c>
      <c r="C22" t="s">
        <v>77</v>
      </c>
      <c r="D22" t="s">
        <v>92</v>
      </c>
      <c r="E22">
        <v>80</v>
      </c>
      <c r="F22">
        <v>6</v>
      </c>
      <c r="G22">
        <v>9.9000000000000005E-2</v>
      </c>
      <c r="H22">
        <v>50</v>
      </c>
      <c r="I22">
        <v>2910</v>
      </c>
    </row>
    <row r="23" spans="1:9" x14ac:dyDescent="0.3">
      <c r="A23" t="s">
        <v>118</v>
      </c>
      <c r="B23" t="s">
        <v>119</v>
      </c>
      <c r="C23" t="s">
        <v>77</v>
      </c>
      <c r="D23" t="s">
        <v>74</v>
      </c>
      <c r="E23">
        <v>100</v>
      </c>
      <c r="F23">
        <v>7.6</v>
      </c>
      <c r="G23">
        <v>0.1469</v>
      </c>
      <c r="H23">
        <v>50</v>
      </c>
      <c r="I23">
        <v>2910</v>
      </c>
    </row>
    <row r="24" spans="1:9" x14ac:dyDescent="0.3">
      <c r="A24" t="s">
        <v>120</v>
      </c>
      <c r="B24" t="s">
        <v>121</v>
      </c>
      <c r="C24" t="s">
        <v>77</v>
      </c>
      <c r="D24" t="s">
        <v>74</v>
      </c>
      <c r="E24">
        <v>100</v>
      </c>
      <c r="F24">
        <v>4.2</v>
      </c>
      <c r="G24">
        <v>7.6999999999999999E-2</v>
      </c>
      <c r="H24">
        <v>50</v>
      </c>
      <c r="I24">
        <v>2910</v>
      </c>
    </row>
    <row r="25" spans="1:9" x14ac:dyDescent="0.3">
      <c r="A25" t="s">
        <v>122</v>
      </c>
      <c r="B25" t="s">
        <v>123</v>
      </c>
      <c r="C25" t="s">
        <v>77</v>
      </c>
      <c r="D25" t="s">
        <v>74</v>
      </c>
      <c r="E25">
        <v>124</v>
      </c>
      <c r="F25">
        <v>7.6</v>
      </c>
      <c r="G25">
        <v>0.17899999999999999</v>
      </c>
      <c r="H25">
        <v>50</v>
      </c>
      <c r="I25">
        <v>2910</v>
      </c>
    </row>
    <row r="26" spans="1:9" x14ac:dyDescent="0.3">
      <c r="A26" t="s">
        <v>124</v>
      </c>
      <c r="B26" t="s">
        <v>125</v>
      </c>
      <c r="C26" t="s">
        <v>77</v>
      </c>
      <c r="D26" t="s">
        <v>74</v>
      </c>
      <c r="E26">
        <v>159</v>
      </c>
      <c r="F26">
        <v>7.3</v>
      </c>
      <c r="G26">
        <v>0.23400000000000001</v>
      </c>
      <c r="H26">
        <v>50</v>
      </c>
      <c r="I26">
        <v>2910</v>
      </c>
    </row>
    <row r="27" spans="1:9" x14ac:dyDescent="0.3">
      <c r="A27" t="s">
        <v>126</v>
      </c>
      <c r="B27" t="s">
        <v>127</v>
      </c>
      <c r="C27" t="s">
        <v>77</v>
      </c>
      <c r="D27" t="s">
        <v>74</v>
      </c>
      <c r="E27">
        <v>199</v>
      </c>
      <c r="F27">
        <v>7</v>
      </c>
      <c r="G27">
        <v>0.29499999999999998</v>
      </c>
      <c r="H27">
        <v>50</v>
      </c>
      <c r="I27">
        <v>2910</v>
      </c>
    </row>
    <row r="28" spans="1:9" x14ac:dyDescent="0.3">
      <c r="A28" t="s">
        <v>128</v>
      </c>
      <c r="B28" t="s">
        <v>129</v>
      </c>
      <c r="C28" t="s">
        <v>77</v>
      </c>
      <c r="D28" t="s">
        <v>74</v>
      </c>
      <c r="E28">
        <v>240</v>
      </c>
      <c r="F28">
        <v>6.2</v>
      </c>
      <c r="G28">
        <v>0.35899999999999999</v>
      </c>
      <c r="H28">
        <v>50</v>
      </c>
      <c r="I28">
        <v>2910</v>
      </c>
    </row>
    <row r="29" spans="1:9" x14ac:dyDescent="0.3">
      <c r="A29" t="s">
        <v>130</v>
      </c>
      <c r="B29" t="s">
        <v>131</v>
      </c>
      <c r="C29" t="s">
        <v>77</v>
      </c>
      <c r="D29" t="s">
        <v>74</v>
      </c>
      <c r="E29">
        <v>25</v>
      </c>
      <c r="F29">
        <v>7.5</v>
      </c>
      <c r="G29">
        <v>6.4000000000000001E-2</v>
      </c>
      <c r="H29">
        <v>50</v>
      </c>
      <c r="I29">
        <v>2910</v>
      </c>
    </row>
    <row r="30" spans="1:9" x14ac:dyDescent="0.3">
      <c r="A30" t="s">
        <v>132</v>
      </c>
      <c r="B30" t="s">
        <v>133</v>
      </c>
      <c r="C30" t="s">
        <v>77</v>
      </c>
      <c r="D30" t="s">
        <v>74</v>
      </c>
      <c r="E30">
        <v>280</v>
      </c>
      <c r="F30">
        <v>5.63</v>
      </c>
      <c r="G30">
        <v>0.40799999999999997</v>
      </c>
      <c r="H30">
        <v>50</v>
      </c>
      <c r="I30">
        <v>2910</v>
      </c>
    </row>
    <row r="31" spans="1:9" x14ac:dyDescent="0.3">
      <c r="A31" t="s">
        <v>134</v>
      </c>
      <c r="B31" t="s">
        <v>135</v>
      </c>
      <c r="C31" t="s">
        <v>77</v>
      </c>
      <c r="D31" t="s">
        <v>74</v>
      </c>
      <c r="E31">
        <v>34</v>
      </c>
      <c r="F31">
        <v>6.7</v>
      </c>
      <c r="G31">
        <v>6.7000000000000004E-2</v>
      </c>
      <c r="H31">
        <v>50</v>
      </c>
      <c r="I31">
        <v>2910</v>
      </c>
    </row>
    <row r="32" spans="1:9" x14ac:dyDescent="0.3">
      <c r="A32" t="s">
        <v>136</v>
      </c>
      <c r="B32" t="s">
        <v>137</v>
      </c>
      <c r="C32" t="s">
        <v>77</v>
      </c>
      <c r="D32" t="s">
        <v>74</v>
      </c>
      <c r="E32">
        <v>35</v>
      </c>
      <c r="F32">
        <v>7.2</v>
      </c>
      <c r="G32">
        <v>7.2999999999999995E-2</v>
      </c>
      <c r="H32">
        <v>50</v>
      </c>
      <c r="I32">
        <v>2910</v>
      </c>
    </row>
    <row r="33" spans="1:9" x14ac:dyDescent="0.3">
      <c r="A33" t="s">
        <v>138</v>
      </c>
      <c r="B33" t="s">
        <v>139</v>
      </c>
      <c r="C33" t="s">
        <v>77</v>
      </c>
      <c r="D33" t="s">
        <v>74</v>
      </c>
      <c r="E33">
        <v>50</v>
      </c>
      <c r="F33">
        <v>6.24</v>
      </c>
      <c r="G33">
        <v>7.0999999999999994E-2</v>
      </c>
      <c r="H33">
        <v>50</v>
      </c>
      <c r="I33">
        <v>2910</v>
      </c>
    </row>
    <row r="34" spans="1:9" x14ac:dyDescent="0.3">
      <c r="A34" t="s">
        <v>140</v>
      </c>
      <c r="B34" t="s">
        <v>141</v>
      </c>
      <c r="C34" t="s">
        <v>77</v>
      </c>
      <c r="D34" t="s">
        <v>74</v>
      </c>
      <c r="E34">
        <v>500</v>
      </c>
      <c r="F34">
        <v>4.79</v>
      </c>
      <c r="G34">
        <v>0.47899999999999998</v>
      </c>
      <c r="H34">
        <v>50</v>
      </c>
      <c r="I34">
        <v>2910</v>
      </c>
    </row>
    <row r="35" spans="1:9" x14ac:dyDescent="0.3">
      <c r="A35" t="s">
        <v>142</v>
      </c>
      <c r="B35" t="s">
        <v>143</v>
      </c>
      <c r="C35" t="s">
        <v>77</v>
      </c>
      <c r="D35" t="s">
        <v>74</v>
      </c>
      <c r="E35">
        <v>700</v>
      </c>
      <c r="F35">
        <v>4.29</v>
      </c>
      <c r="G35">
        <v>0.55000000000000004</v>
      </c>
      <c r="H35">
        <v>50</v>
      </c>
      <c r="I35">
        <v>2910</v>
      </c>
    </row>
    <row r="36" spans="1:9" x14ac:dyDescent="0.3">
      <c r="A36" t="s">
        <v>144</v>
      </c>
      <c r="B36" t="s">
        <v>145</v>
      </c>
      <c r="C36" t="s">
        <v>77</v>
      </c>
      <c r="D36" t="s">
        <v>146</v>
      </c>
      <c r="E36">
        <v>1000</v>
      </c>
      <c r="F36">
        <v>5.81</v>
      </c>
      <c r="G36">
        <v>1.026</v>
      </c>
      <c r="H36">
        <v>50</v>
      </c>
      <c r="I36">
        <v>2910</v>
      </c>
    </row>
    <row r="37" spans="1:9" x14ac:dyDescent="0.3">
      <c r="A37" t="s">
        <v>147</v>
      </c>
      <c r="B37" t="s">
        <v>148</v>
      </c>
      <c r="C37" t="s">
        <v>77</v>
      </c>
      <c r="D37" t="s">
        <v>146</v>
      </c>
      <c r="E37">
        <v>1250</v>
      </c>
      <c r="F37">
        <v>4.92</v>
      </c>
      <c r="G37">
        <v>1.0880000000000001</v>
      </c>
      <c r="H37">
        <v>50</v>
      </c>
      <c r="I37">
        <v>2910</v>
      </c>
    </row>
    <row r="38" spans="1:9" x14ac:dyDescent="0.3">
      <c r="A38" t="s">
        <v>149</v>
      </c>
      <c r="B38" t="s">
        <v>150</v>
      </c>
      <c r="C38" t="s">
        <v>77</v>
      </c>
      <c r="D38" t="s">
        <v>151</v>
      </c>
      <c r="E38">
        <v>130</v>
      </c>
      <c r="F38">
        <v>10.49</v>
      </c>
      <c r="G38">
        <v>0.28799999999999998</v>
      </c>
      <c r="H38">
        <v>50</v>
      </c>
      <c r="I38">
        <v>2960</v>
      </c>
    </row>
    <row r="39" spans="1:9" x14ac:dyDescent="0.3">
      <c r="A39" t="s">
        <v>152</v>
      </c>
      <c r="B39" t="s">
        <v>153</v>
      </c>
      <c r="C39" t="s">
        <v>77</v>
      </c>
      <c r="D39" t="s">
        <v>151</v>
      </c>
      <c r="E39">
        <v>250</v>
      </c>
      <c r="F39">
        <v>9.6300000000000008</v>
      </c>
      <c r="G39">
        <v>0.45400000000000001</v>
      </c>
      <c r="H39">
        <v>50</v>
      </c>
      <c r="I39">
        <v>2960</v>
      </c>
    </row>
    <row r="40" spans="1:9" x14ac:dyDescent="0.3">
      <c r="A40" t="s">
        <v>154</v>
      </c>
      <c r="B40" t="s">
        <v>155</v>
      </c>
      <c r="C40" t="s">
        <v>77</v>
      </c>
      <c r="D40" t="s">
        <v>156</v>
      </c>
      <c r="E40">
        <v>2000</v>
      </c>
      <c r="F40">
        <v>6.71</v>
      </c>
      <c r="G40">
        <v>2.2290000000000001</v>
      </c>
      <c r="H40">
        <v>50</v>
      </c>
      <c r="I40">
        <v>2960</v>
      </c>
    </row>
    <row r="41" spans="1:9" x14ac:dyDescent="0.3">
      <c r="A41" t="s">
        <v>157</v>
      </c>
      <c r="B41" t="s">
        <v>158</v>
      </c>
      <c r="C41" t="s">
        <v>77</v>
      </c>
      <c r="D41" t="s">
        <v>159</v>
      </c>
      <c r="E41">
        <v>1000</v>
      </c>
      <c r="F41">
        <v>20.5</v>
      </c>
      <c r="G41">
        <v>3.5409999999999999</v>
      </c>
      <c r="H41">
        <v>50</v>
      </c>
      <c r="I41">
        <v>2910</v>
      </c>
    </row>
    <row r="42" spans="1:9" x14ac:dyDescent="0.3">
      <c r="A42" t="s">
        <v>160</v>
      </c>
      <c r="B42" t="s">
        <v>161</v>
      </c>
      <c r="C42" t="s">
        <v>77</v>
      </c>
      <c r="D42" t="s">
        <v>159</v>
      </c>
      <c r="E42">
        <v>2000</v>
      </c>
      <c r="F42">
        <v>17.329999999999998</v>
      </c>
      <c r="G42">
        <v>6.11</v>
      </c>
      <c r="H42">
        <v>50</v>
      </c>
      <c r="I42">
        <v>2910</v>
      </c>
    </row>
    <row r="43" spans="1:9" x14ac:dyDescent="0.3">
      <c r="A43" t="s">
        <v>162</v>
      </c>
      <c r="B43" t="s">
        <v>163</v>
      </c>
      <c r="C43" t="s">
        <v>77</v>
      </c>
      <c r="D43" t="s">
        <v>159</v>
      </c>
      <c r="E43">
        <v>2500</v>
      </c>
      <c r="F43">
        <v>14.7</v>
      </c>
      <c r="G43">
        <v>6.2880000000000003</v>
      </c>
      <c r="H43">
        <v>50</v>
      </c>
      <c r="I43">
        <v>2910</v>
      </c>
    </row>
    <row r="44" spans="1:9" x14ac:dyDescent="0.3">
      <c r="A44" t="s">
        <v>164</v>
      </c>
      <c r="B44" t="s">
        <v>165</v>
      </c>
      <c r="C44" t="s">
        <v>77</v>
      </c>
      <c r="D44" t="s">
        <v>159</v>
      </c>
      <c r="E44">
        <v>3000</v>
      </c>
      <c r="F44">
        <v>12.8</v>
      </c>
      <c r="G44">
        <v>6.226</v>
      </c>
      <c r="H44">
        <v>50</v>
      </c>
      <c r="I44">
        <v>2910</v>
      </c>
    </row>
    <row r="45" spans="1:9" x14ac:dyDescent="0.3">
      <c r="A45" t="s">
        <v>166</v>
      </c>
      <c r="B45" t="s">
        <v>167</v>
      </c>
      <c r="C45" t="s">
        <v>77</v>
      </c>
      <c r="D45" t="s">
        <v>159</v>
      </c>
      <c r="E45">
        <v>500</v>
      </c>
      <c r="F45">
        <v>19.170000000000002</v>
      </c>
      <c r="G45">
        <v>1.7470000000000001</v>
      </c>
      <c r="H45">
        <v>50</v>
      </c>
      <c r="I45">
        <v>2910</v>
      </c>
    </row>
    <row r="46" spans="1:9" x14ac:dyDescent="0.3">
      <c r="A46" t="s">
        <v>168</v>
      </c>
      <c r="B46" t="s">
        <v>169</v>
      </c>
      <c r="C46" t="s">
        <v>170</v>
      </c>
      <c r="D46" t="s">
        <v>92</v>
      </c>
      <c r="E46">
        <v>140</v>
      </c>
      <c r="F46">
        <v>4.24002045516891</v>
      </c>
      <c r="G46">
        <v>0.10398982831859339</v>
      </c>
      <c r="H46">
        <v>50</v>
      </c>
      <c r="I46">
        <v>2910</v>
      </c>
    </row>
    <row r="47" spans="1:9" x14ac:dyDescent="0.3">
      <c r="A47" t="s">
        <v>171</v>
      </c>
      <c r="B47" t="s">
        <v>172</v>
      </c>
      <c r="C47" t="s">
        <v>170</v>
      </c>
      <c r="D47" t="s">
        <v>92</v>
      </c>
      <c r="E47">
        <v>200</v>
      </c>
      <c r="F47">
        <v>4.6523834234610701</v>
      </c>
      <c r="G47">
        <v>0.20247060522183871</v>
      </c>
      <c r="H47">
        <v>50</v>
      </c>
      <c r="I47">
        <v>2910</v>
      </c>
    </row>
    <row r="48" spans="1:9" x14ac:dyDescent="0.3">
      <c r="A48" t="s">
        <v>173</v>
      </c>
      <c r="B48" t="s">
        <v>174</v>
      </c>
      <c r="C48" t="s">
        <v>170</v>
      </c>
      <c r="D48" t="s">
        <v>92</v>
      </c>
      <c r="E48">
        <v>320</v>
      </c>
      <c r="F48">
        <v>3.861320960242526</v>
      </c>
      <c r="G48">
        <v>0.2110291675678892</v>
      </c>
      <c r="H48">
        <v>50</v>
      </c>
      <c r="I48">
        <v>2910</v>
      </c>
    </row>
    <row r="49" spans="1:9" x14ac:dyDescent="0.3">
      <c r="A49" t="s">
        <v>175</v>
      </c>
      <c r="B49" t="s">
        <v>176</v>
      </c>
      <c r="C49" t="s">
        <v>170</v>
      </c>
      <c r="D49" t="s">
        <v>92</v>
      </c>
      <c r="E49">
        <v>400</v>
      </c>
      <c r="F49">
        <v>4.0443009501983838</v>
      </c>
      <c r="G49">
        <v>0.27796036220812997</v>
      </c>
      <c r="H49">
        <v>50</v>
      </c>
      <c r="I49">
        <v>2910</v>
      </c>
    </row>
    <row r="50" spans="1:9" x14ac:dyDescent="0.3">
      <c r="A50" t="s">
        <v>177</v>
      </c>
      <c r="B50" t="s">
        <v>178</v>
      </c>
      <c r="C50" t="s">
        <v>170</v>
      </c>
      <c r="D50" t="s">
        <v>74</v>
      </c>
      <c r="E50">
        <v>100</v>
      </c>
      <c r="F50">
        <v>7.3756955245362681</v>
      </c>
      <c r="G50">
        <v>0.1452083942534097</v>
      </c>
      <c r="H50">
        <v>50</v>
      </c>
      <c r="I50">
        <v>2910</v>
      </c>
    </row>
    <row r="51" spans="1:9" x14ac:dyDescent="0.3">
      <c r="A51" t="s">
        <v>179</v>
      </c>
      <c r="B51" t="s">
        <v>180</v>
      </c>
      <c r="C51" t="s">
        <v>170</v>
      </c>
      <c r="D51" t="s">
        <v>74</v>
      </c>
      <c r="E51">
        <v>240</v>
      </c>
      <c r="F51">
        <v>6.0474499371507111</v>
      </c>
      <c r="G51">
        <v>0.36110423542680381</v>
      </c>
      <c r="H51">
        <v>50</v>
      </c>
      <c r="I51">
        <v>2910</v>
      </c>
    </row>
    <row r="52" spans="1:9" x14ac:dyDescent="0.3">
      <c r="A52" t="s">
        <v>181</v>
      </c>
      <c r="B52" t="s">
        <v>182</v>
      </c>
      <c r="C52" t="s">
        <v>170</v>
      </c>
      <c r="D52" t="s">
        <v>74</v>
      </c>
      <c r="E52">
        <v>320</v>
      </c>
      <c r="F52">
        <v>4.2058181552801832</v>
      </c>
      <c r="G52">
        <v>0.2184871468597368</v>
      </c>
      <c r="H52">
        <v>50</v>
      </c>
      <c r="I52">
        <v>2910</v>
      </c>
    </row>
    <row r="53" spans="1:9" x14ac:dyDescent="0.3">
      <c r="A53" t="s">
        <v>183</v>
      </c>
      <c r="B53" t="s">
        <v>184</v>
      </c>
      <c r="C53" t="s">
        <v>170</v>
      </c>
      <c r="D53" t="s">
        <v>74</v>
      </c>
      <c r="E53">
        <v>400</v>
      </c>
      <c r="F53">
        <v>5.8586166056850217</v>
      </c>
      <c r="G53">
        <v>0.41605200263684361</v>
      </c>
      <c r="H53">
        <v>50</v>
      </c>
      <c r="I53">
        <v>2910</v>
      </c>
    </row>
    <row r="54" spans="1:9" x14ac:dyDescent="0.3">
      <c r="A54" t="s">
        <v>185</v>
      </c>
      <c r="B54" t="s">
        <v>184</v>
      </c>
      <c r="C54" t="s">
        <v>170</v>
      </c>
      <c r="D54" t="s">
        <v>74</v>
      </c>
      <c r="E54">
        <v>400</v>
      </c>
      <c r="F54">
        <v>5.2641905074098929</v>
      </c>
      <c r="G54">
        <v>0.39969624834267953</v>
      </c>
      <c r="H54">
        <v>50</v>
      </c>
      <c r="I54">
        <v>2910</v>
      </c>
    </row>
    <row r="55" spans="1:9" x14ac:dyDescent="0.3">
      <c r="A55" t="s">
        <v>186</v>
      </c>
      <c r="B55" t="s">
        <v>187</v>
      </c>
      <c r="C55" t="s">
        <v>170</v>
      </c>
      <c r="D55" t="s">
        <v>74</v>
      </c>
      <c r="E55">
        <v>500</v>
      </c>
      <c r="F55">
        <v>4.9220291067875994</v>
      </c>
      <c r="G55">
        <v>0.48662119395824049</v>
      </c>
      <c r="H55">
        <v>50</v>
      </c>
      <c r="I55">
        <v>2910</v>
      </c>
    </row>
    <row r="56" spans="1:9" x14ac:dyDescent="0.3">
      <c r="A56" t="s">
        <v>188</v>
      </c>
      <c r="B56" t="s">
        <v>189</v>
      </c>
      <c r="C56" t="s">
        <v>170</v>
      </c>
      <c r="D56" t="s">
        <v>74</v>
      </c>
      <c r="E56">
        <v>700</v>
      </c>
      <c r="F56">
        <v>4.2521656762666034</v>
      </c>
      <c r="G56">
        <v>0.54925611416069131</v>
      </c>
      <c r="H56">
        <v>50</v>
      </c>
      <c r="I56">
        <v>2910</v>
      </c>
    </row>
    <row r="57" spans="1:9" x14ac:dyDescent="0.3">
      <c r="A57" t="s">
        <v>190</v>
      </c>
      <c r="B57" t="s">
        <v>191</v>
      </c>
      <c r="C57" t="s">
        <v>170</v>
      </c>
      <c r="D57" t="s">
        <v>74</v>
      </c>
      <c r="E57">
        <v>80</v>
      </c>
      <c r="F57">
        <v>6.5349199308455326</v>
      </c>
      <c r="G57">
        <v>0.1062576272168879</v>
      </c>
      <c r="H57">
        <v>50</v>
      </c>
      <c r="I57">
        <v>2910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G655"/>
  <sheetViews>
    <sheetView workbookViewId="0">
      <pane ySplit="1" topLeftCell="A296" activePane="bottomLeft" state="frozen"/>
      <selection pane="bottomLeft" activeCell="I307" sqref="I307"/>
    </sheetView>
  </sheetViews>
  <sheetFormatPr defaultRowHeight="14.4" x14ac:dyDescent="0.3"/>
  <cols>
    <col min="1" max="1" width="14" customWidth="1"/>
    <col min="2" max="2" width="12" customWidth="1"/>
    <col min="3" max="5" width="14" customWidth="1"/>
    <col min="6" max="6" width="12" customWidth="1"/>
    <col min="7" max="7" width="18" customWidth="1"/>
  </cols>
  <sheetData>
    <row r="1" spans="1:7" x14ac:dyDescent="0.3">
      <c r="A1" s="10" t="s">
        <v>62</v>
      </c>
      <c r="B1" s="10" t="s">
        <v>192</v>
      </c>
      <c r="C1" s="10" t="s">
        <v>193</v>
      </c>
      <c r="D1" s="10" t="s">
        <v>194</v>
      </c>
      <c r="E1" s="10" t="s">
        <v>195</v>
      </c>
      <c r="F1" s="10" t="s">
        <v>41</v>
      </c>
      <c r="G1" s="10" t="s">
        <v>196</v>
      </c>
    </row>
    <row r="2" spans="1:7" x14ac:dyDescent="0.3">
      <c r="A2" t="s">
        <v>71</v>
      </c>
      <c r="B2">
        <v>0</v>
      </c>
      <c r="C2">
        <v>0</v>
      </c>
      <c r="D2">
        <v>6.2380248851718596</v>
      </c>
      <c r="E2">
        <v>0.199657016838376</v>
      </c>
      <c r="F2">
        <v>0</v>
      </c>
      <c r="G2" t="s">
        <v>197</v>
      </c>
    </row>
    <row r="3" spans="1:7" x14ac:dyDescent="0.3">
      <c r="A3" t="s">
        <v>71</v>
      </c>
      <c r="B3">
        <v>1</v>
      </c>
      <c r="C3">
        <v>52.917000000000002</v>
      </c>
      <c r="D3">
        <v>6.1905900125596602</v>
      </c>
      <c r="E3">
        <v>0.21595992399955899</v>
      </c>
      <c r="F3">
        <v>0.17222605251935799</v>
      </c>
      <c r="G3" t="s">
        <v>198</v>
      </c>
    </row>
    <row r="4" spans="1:7" x14ac:dyDescent="0.3">
      <c r="A4" t="s">
        <v>71</v>
      </c>
      <c r="B4">
        <v>2</v>
      </c>
      <c r="C4">
        <v>105.833</v>
      </c>
      <c r="D4">
        <v>6.1580464511664301</v>
      </c>
      <c r="E4">
        <v>0.241746215828362</v>
      </c>
      <c r="F4">
        <v>0.30609800009397498</v>
      </c>
      <c r="G4" t="s">
        <v>199</v>
      </c>
    </row>
    <row r="5" spans="1:7" x14ac:dyDescent="0.3">
      <c r="A5" t="s">
        <v>71</v>
      </c>
      <c r="B5">
        <v>3</v>
      </c>
      <c r="C5">
        <v>158.75</v>
      </c>
      <c r="D5">
        <v>6.0361399168113197</v>
      </c>
      <c r="E5">
        <v>0.272562965932866</v>
      </c>
      <c r="F5">
        <v>0.39917956484114098</v>
      </c>
      <c r="G5" t="s">
        <v>200</v>
      </c>
    </row>
    <row r="6" spans="1:7" x14ac:dyDescent="0.3">
      <c r="A6" t="s">
        <v>71</v>
      </c>
      <c r="B6">
        <v>4</v>
      </c>
      <c r="C6">
        <v>211.667</v>
      </c>
      <c r="D6">
        <v>5.8477012540937601</v>
      </c>
      <c r="E6">
        <v>0.30367515203225798</v>
      </c>
      <c r="F6">
        <v>0.46279034245432998</v>
      </c>
      <c r="G6" t="s">
        <v>201</v>
      </c>
    </row>
    <row r="7" spans="1:7" x14ac:dyDescent="0.3">
      <c r="A7" t="s">
        <v>71</v>
      </c>
      <c r="B7">
        <v>5</v>
      </c>
      <c r="C7">
        <v>264.58300000000003</v>
      </c>
      <c r="D7">
        <v>5.5942532900787896</v>
      </c>
      <c r="E7">
        <v>0.328961866935707</v>
      </c>
      <c r="F7">
        <v>0.51087357280287804</v>
      </c>
      <c r="G7" t="s">
        <v>202</v>
      </c>
    </row>
    <row r="8" spans="1:7" x14ac:dyDescent="0.3">
      <c r="A8" t="s">
        <v>71</v>
      </c>
      <c r="B8">
        <v>6</v>
      </c>
      <c r="C8">
        <v>317.5</v>
      </c>
      <c r="D8">
        <v>5.1874510842590498</v>
      </c>
      <c r="E8">
        <v>0.34144417964685397</v>
      </c>
      <c r="F8">
        <v>0.54768887046273196</v>
      </c>
      <c r="G8" t="s">
        <v>203</v>
      </c>
    </row>
    <row r="9" spans="1:7" x14ac:dyDescent="0.3">
      <c r="A9" t="s">
        <v>71</v>
      </c>
      <c r="B9">
        <v>7</v>
      </c>
      <c r="C9">
        <v>370.41699999999997</v>
      </c>
      <c r="D9">
        <v>4.4609024449636596</v>
      </c>
      <c r="E9">
        <v>0.33556271023062201</v>
      </c>
      <c r="F9">
        <v>0.55911475496680096</v>
      </c>
      <c r="G9" t="s">
        <v>204</v>
      </c>
    </row>
    <row r="10" spans="1:7" x14ac:dyDescent="0.3">
      <c r="A10" t="s">
        <v>71</v>
      </c>
      <c r="B10">
        <v>8</v>
      </c>
      <c r="C10">
        <v>423.33300000000003</v>
      </c>
      <c r="D10">
        <v>3.2622659585078799</v>
      </c>
      <c r="E10">
        <v>0.31114202943490099</v>
      </c>
      <c r="F10">
        <v>0.503982544661428</v>
      </c>
      <c r="G10" t="s">
        <v>205</v>
      </c>
    </row>
    <row r="11" spans="1:7" x14ac:dyDescent="0.3">
      <c r="A11" t="s">
        <v>71</v>
      </c>
      <c r="B11">
        <v>9</v>
      </c>
      <c r="C11">
        <v>476.25</v>
      </c>
      <c r="D11">
        <v>1.6257490816104601</v>
      </c>
      <c r="E11">
        <v>0.27905595093442997</v>
      </c>
      <c r="F11">
        <v>0.31498662653996901</v>
      </c>
      <c r="G11" t="s">
        <v>206</v>
      </c>
    </row>
    <row r="12" spans="1:7" x14ac:dyDescent="0.3">
      <c r="A12" t="s">
        <v>71</v>
      </c>
      <c r="B12">
        <v>10</v>
      </c>
      <c r="C12">
        <v>529.16700000000003</v>
      </c>
      <c r="D12">
        <v>0</v>
      </c>
      <c r="E12">
        <v>0.268596312191063</v>
      </c>
      <c r="F12">
        <v>0</v>
      </c>
      <c r="G12" t="s">
        <v>207</v>
      </c>
    </row>
    <row r="13" spans="1:7" x14ac:dyDescent="0.3">
      <c r="A13" t="s">
        <v>75</v>
      </c>
      <c r="B13">
        <v>0</v>
      </c>
      <c r="C13">
        <v>0</v>
      </c>
      <c r="D13">
        <v>3.3</v>
      </c>
      <c r="E13">
        <v>1.7999999999999999E-2</v>
      </c>
      <c r="F13">
        <v>0</v>
      </c>
      <c r="G13" t="s">
        <v>208</v>
      </c>
    </row>
    <row r="14" spans="1:7" x14ac:dyDescent="0.3">
      <c r="A14" t="s">
        <v>75</v>
      </c>
      <c r="B14">
        <v>1</v>
      </c>
      <c r="C14">
        <v>15</v>
      </c>
      <c r="D14">
        <v>3.2</v>
      </c>
      <c r="E14">
        <v>1.7999999999999999E-2</v>
      </c>
      <c r="F14">
        <v>0.28999999999999998</v>
      </c>
      <c r="G14" t="s">
        <v>209</v>
      </c>
    </row>
    <row r="15" spans="1:7" x14ac:dyDescent="0.3">
      <c r="A15" t="s">
        <v>75</v>
      </c>
      <c r="B15">
        <v>2</v>
      </c>
      <c r="C15">
        <v>20</v>
      </c>
      <c r="D15">
        <v>3.1</v>
      </c>
      <c r="E15">
        <v>1.9E-2</v>
      </c>
      <c r="F15">
        <v>0.36</v>
      </c>
      <c r="G15" t="s">
        <v>210</v>
      </c>
    </row>
    <row r="16" spans="1:7" x14ac:dyDescent="0.3">
      <c r="A16" t="s">
        <v>75</v>
      </c>
      <c r="B16">
        <v>3</v>
      </c>
      <c r="C16">
        <v>30</v>
      </c>
      <c r="D16">
        <v>2.7</v>
      </c>
      <c r="E16">
        <v>1.9E-2</v>
      </c>
      <c r="F16">
        <v>0.48</v>
      </c>
      <c r="G16" t="s">
        <v>211</v>
      </c>
    </row>
    <row r="17" spans="1:7" x14ac:dyDescent="0.3">
      <c r="A17" t="s">
        <v>75</v>
      </c>
      <c r="B17">
        <v>4</v>
      </c>
      <c r="C17">
        <v>40</v>
      </c>
      <c r="D17">
        <v>2</v>
      </c>
      <c r="E17">
        <v>1.9E-2</v>
      </c>
      <c r="F17">
        <v>0.47</v>
      </c>
      <c r="G17" t="s">
        <v>212</v>
      </c>
    </row>
    <row r="18" spans="1:7" x14ac:dyDescent="0.3">
      <c r="A18" t="s">
        <v>75</v>
      </c>
      <c r="B18">
        <v>5</v>
      </c>
      <c r="C18">
        <v>50</v>
      </c>
      <c r="D18">
        <v>0.8</v>
      </c>
      <c r="E18">
        <v>0.02</v>
      </c>
      <c r="F18">
        <v>0.23</v>
      </c>
      <c r="G18" t="s">
        <v>213</v>
      </c>
    </row>
    <row r="19" spans="1:7" x14ac:dyDescent="0.3">
      <c r="A19" t="s">
        <v>75</v>
      </c>
      <c r="B19">
        <v>6</v>
      </c>
      <c r="C19">
        <v>55</v>
      </c>
      <c r="D19">
        <v>0</v>
      </c>
      <c r="E19">
        <v>2.1999999999999999E-2</v>
      </c>
      <c r="F19">
        <v>0</v>
      </c>
      <c r="G19" t="s">
        <v>214</v>
      </c>
    </row>
    <row r="20" spans="1:7" x14ac:dyDescent="0.3">
      <c r="A20" t="s">
        <v>79</v>
      </c>
      <c r="B20">
        <v>0</v>
      </c>
      <c r="C20">
        <v>0</v>
      </c>
      <c r="D20">
        <v>2.8</v>
      </c>
      <c r="E20">
        <v>1.4999999999999999E-2</v>
      </c>
      <c r="F20">
        <v>0</v>
      </c>
      <c r="G20" t="s">
        <v>215</v>
      </c>
    </row>
    <row r="21" spans="1:7" x14ac:dyDescent="0.3">
      <c r="A21" t="s">
        <v>79</v>
      </c>
      <c r="B21">
        <v>1</v>
      </c>
      <c r="C21">
        <v>7</v>
      </c>
      <c r="D21">
        <v>2.6</v>
      </c>
      <c r="E21">
        <v>1.6E-2</v>
      </c>
      <c r="F21">
        <v>0.13</v>
      </c>
      <c r="G21" t="s">
        <v>216</v>
      </c>
    </row>
    <row r="22" spans="1:7" x14ac:dyDescent="0.3">
      <c r="A22" t="s">
        <v>79</v>
      </c>
      <c r="B22">
        <v>2</v>
      </c>
      <c r="C22">
        <v>15</v>
      </c>
      <c r="D22">
        <v>2.8</v>
      </c>
      <c r="E22">
        <v>1.7999999999999999E-2</v>
      </c>
      <c r="F22">
        <v>0.26</v>
      </c>
      <c r="G22" t="s">
        <v>217</v>
      </c>
    </row>
    <row r="23" spans="1:7" x14ac:dyDescent="0.3">
      <c r="A23" t="s">
        <v>79</v>
      </c>
      <c r="B23">
        <v>3</v>
      </c>
      <c r="C23">
        <v>35</v>
      </c>
      <c r="D23">
        <v>3</v>
      </c>
      <c r="E23">
        <v>2.3E-2</v>
      </c>
      <c r="F23">
        <v>0.53</v>
      </c>
      <c r="G23" t="s">
        <v>218</v>
      </c>
    </row>
    <row r="24" spans="1:7" x14ac:dyDescent="0.3">
      <c r="A24" t="s">
        <v>79</v>
      </c>
      <c r="B24">
        <v>4</v>
      </c>
      <c r="C24">
        <v>50</v>
      </c>
      <c r="D24">
        <v>2.8</v>
      </c>
      <c r="E24">
        <v>2.5000000000000001E-2</v>
      </c>
      <c r="F24">
        <v>0.61</v>
      </c>
      <c r="G24" t="s">
        <v>219</v>
      </c>
    </row>
    <row r="25" spans="1:7" x14ac:dyDescent="0.3">
      <c r="A25" t="s">
        <v>79</v>
      </c>
      <c r="B25">
        <v>5</v>
      </c>
      <c r="C25">
        <v>65</v>
      </c>
      <c r="D25">
        <v>1.7</v>
      </c>
      <c r="E25">
        <v>2.5999999999999999E-2</v>
      </c>
      <c r="F25">
        <v>0.48</v>
      </c>
      <c r="G25" t="s">
        <v>220</v>
      </c>
    </row>
    <row r="26" spans="1:7" x14ac:dyDescent="0.3">
      <c r="A26" t="s">
        <v>79</v>
      </c>
      <c r="B26">
        <v>6</v>
      </c>
      <c r="C26">
        <v>70</v>
      </c>
      <c r="D26">
        <v>1.2</v>
      </c>
      <c r="E26">
        <v>2.7E-2</v>
      </c>
      <c r="F26">
        <v>0.38</v>
      </c>
      <c r="G26" t="s">
        <v>221</v>
      </c>
    </row>
    <row r="27" spans="1:7" x14ac:dyDescent="0.3">
      <c r="A27" t="s">
        <v>79</v>
      </c>
      <c r="B27">
        <v>7</v>
      </c>
      <c r="C27">
        <v>85</v>
      </c>
      <c r="D27">
        <v>0</v>
      </c>
      <c r="E27">
        <v>0.03</v>
      </c>
      <c r="F27">
        <v>0</v>
      </c>
      <c r="G27" t="s">
        <v>222</v>
      </c>
    </row>
    <row r="28" spans="1:7" x14ac:dyDescent="0.3">
      <c r="A28" t="s">
        <v>81</v>
      </c>
      <c r="B28">
        <v>0</v>
      </c>
      <c r="C28">
        <v>0</v>
      </c>
      <c r="D28">
        <v>23.86</v>
      </c>
      <c r="E28">
        <v>0.32400000000000001</v>
      </c>
      <c r="F28">
        <v>0</v>
      </c>
      <c r="G28" t="s">
        <v>223</v>
      </c>
    </row>
    <row r="29" spans="1:7" x14ac:dyDescent="0.3">
      <c r="A29" t="s">
        <v>81</v>
      </c>
      <c r="B29">
        <v>1</v>
      </c>
      <c r="C29">
        <v>20</v>
      </c>
      <c r="D29">
        <v>22.99</v>
      </c>
      <c r="E29">
        <v>0.32400000000000001</v>
      </c>
      <c r="F29">
        <v>0.15</v>
      </c>
      <c r="G29" t="s">
        <v>224</v>
      </c>
    </row>
    <row r="30" spans="1:7" x14ac:dyDescent="0.3">
      <c r="A30" t="s">
        <v>81</v>
      </c>
      <c r="B30">
        <v>2</v>
      </c>
      <c r="C30">
        <v>40</v>
      </c>
      <c r="D30">
        <v>22.48</v>
      </c>
      <c r="E30">
        <v>0.33</v>
      </c>
      <c r="F30">
        <v>0.32</v>
      </c>
      <c r="G30" t="s">
        <v>225</v>
      </c>
    </row>
    <row r="31" spans="1:7" x14ac:dyDescent="0.3">
      <c r="A31" t="s">
        <v>81</v>
      </c>
      <c r="B31">
        <v>3</v>
      </c>
      <c r="C31">
        <v>67</v>
      </c>
      <c r="D31">
        <v>21.96</v>
      </c>
      <c r="E31">
        <v>0.34799999999999998</v>
      </c>
      <c r="F31">
        <v>0.48</v>
      </c>
      <c r="G31" t="s">
        <v>226</v>
      </c>
    </row>
    <row r="32" spans="1:7" x14ac:dyDescent="0.3">
      <c r="A32" t="s">
        <v>81</v>
      </c>
      <c r="B32">
        <v>4</v>
      </c>
      <c r="C32">
        <v>90</v>
      </c>
      <c r="D32">
        <v>19.670000000000002</v>
      </c>
      <c r="E32">
        <v>0.371</v>
      </c>
      <c r="F32">
        <v>0.53</v>
      </c>
      <c r="G32" t="s">
        <v>227</v>
      </c>
    </row>
    <row r="33" spans="1:7" x14ac:dyDescent="0.3">
      <c r="A33" t="s">
        <v>81</v>
      </c>
      <c r="B33">
        <v>5</v>
      </c>
      <c r="C33">
        <v>121</v>
      </c>
      <c r="D33">
        <v>13.3</v>
      </c>
      <c r="E33">
        <v>0.41499999999999998</v>
      </c>
      <c r="F33">
        <v>0.44</v>
      </c>
      <c r="G33" t="s">
        <v>228</v>
      </c>
    </row>
    <row r="34" spans="1:7" x14ac:dyDescent="0.3">
      <c r="A34" t="s">
        <v>81</v>
      </c>
      <c r="B34">
        <v>6</v>
      </c>
      <c r="C34">
        <v>140</v>
      </c>
      <c r="D34">
        <v>8.85</v>
      </c>
      <c r="E34">
        <v>0.44900000000000001</v>
      </c>
      <c r="F34">
        <v>0.31</v>
      </c>
      <c r="G34" t="s">
        <v>229</v>
      </c>
    </row>
    <row r="35" spans="1:7" x14ac:dyDescent="0.3">
      <c r="A35" t="s">
        <v>81</v>
      </c>
      <c r="B35">
        <v>7</v>
      </c>
      <c r="C35">
        <v>160</v>
      </c>
      <c r="D35">
        <v>3.98</v>
      </c>
      <c r="E35">
        <v>0.49099999999999999</v>
      </c>
      <c r="F35">
        <v>0.14000000000000001</v>
      </c>
      <c r="G35" t="s">
        <v>230</v>
      </c>
    </row>
    <row r="36" spans="1:7" x14ac:dyDescent="0.3">
      <c r="A36" t="s">
        <v>81</v>
      </c>
      <c r="B36">
        <v>8</v>
      </c>
      <c r="C36">
        <v>171</v>
      </c>
      <c r="D36">
        <v>0</v>
      </c>
      <c r="E36">
        <v>0.51600000000000001</v>
      </c>
      <c r="F36">
        <v>0</v>
      </c>
      <c r="G36" t="s">
        <v>231</v>
      </c>
    </row>
    <row r="37" spans="1:7" x14ac:dyDescent="0.3">
      <c r="A37" t="s">
        <v>84</v>
      </c>
      <c r="B37">
        <v>0</v>
      </c>
      <c r="C37">
        <v>0</v>
      </c>
      <c r="D37">
        <v>4.9000000000000004</v>
      </c>
      <c r="E37">
        <v>0.02</v>
      </c>
      <c r="F37">
        <v>0</v>
      </c>
      <c r="G37" t="s">
        <v>232</v>
      </c>
    </row>
    <row r="38" spans="1:7" x14ac:dyDescent="0.3">
      <c r="A38" t="s">
        <v>84</v>
      </c>
      <c r="B38">
        <v>1</v>
      </c>
      <c r="C38">
        <v>10</v>
      </c>
      <c r="D38">
        <v>4.7</v>
      </c>
      <c r="E38">
        <v>2.5000000000000001E-2</v>
      </c>
      <c r="F38">
        <v>0.21</v>
      </c>
      <c r="G38" t="s">
        <v>233</v>
      </c>
    </row>
    <row r="39" spans="1:7" x14ac:dyDescent="0.3">
      <c r="A39" t="s">
        <v>84</v>
      </c>
      <c r="B39">
        <v>2</v>
      </c>
      <c r="C39">
        <v>15</v>
      </c>
      <c r="D39">
        <v>4.5999999999999996</v>
      </c>
      <c r="E39">
        <v>2.7E-2</v>
      </c>
      <c r="F39">
        <v>0.28999999999999998</v>
      </c>
      <c r="G39" t="s">
        <v>234</v>
      </c>
    </row>
    <row r="40" spans="1:7" x14ac:dyDescent="0.3">
      <c r="A40" t="s">
        <v>84</v>
      </c>
      <c r="B40">
        <v>3</v>
      </c>
      <c r="C40">
        <v>20</v>
      </c>
      <c r="D40">
        <v>4.5</v>
      </c>
      <c r="E40">
        <v>0.03</v>
      </c>
      <c r="F40">
        <v>0.35</v>
      </c>
      <c r="G40" t="s">
        <v>235</v>
      </c>
    </row>
    <row r="41" spans="1:7" x14ac:dyDescent="0.3">
      <c r="A41" t="s">
        <v>84</v>
      </c>
      <c r="B41">
        <v>4</v>
      </c>
      <c r="C41">
        <v>30</v>
      </c>
      <c r="D41">
        <v>4.0999999999999996</v>
      </c>
      <c r="E41">
        <v>3.5000000000000003E-2</v>
      </c>
      <c r="F41">
        <v>0.4</v>
      </c>
      <c r="G41" t="s">
        <v>236</v>
      </c>
    </row>
    <row r="42" spans="1:7" x14ac:dyDescent="0.3">
      <c r="A42" t="s">
        <v>84</v>
      </c>
      <c r="B42">
        <v>5</v>
      </c>
      <c r="C42">
        <v>40</v>
      </c>
      <c r="D42">
        <v>3.3</v>
      </c>
      <c r="E42">
        <v>4.1000000000000002E-2</v>
      </c>
      <c r="F42">
        <v>0.37</v>
      </c>
      <c r="G42" t="s">
        <v>237</v>
      </c>
    </row>
    <row r="43" spans="1:7" x14ac:dyDescent="0.3">
      <c r="A43" t="s">
        <v>84</v>
      </c>
      <c r="B43">
        <v>6</v>
      </c>
      <c r="C43">
        <v>65</v>
      </c>
      <c r="D43">
        <v>0</v>
      </c>
      <c r="E43">
        <v>0.02</v>
      </c>
      <c r="F43">
        <v>0</v>
      </c>
      <c r="G43" t="s">
        <v>238</v>
      </c>
    </row>
    <row r="44" spans="1:7" x14ac:dyDescent="0.3">
      <c r="A44" t="s">
        <v>87</v>
      </c>
      <c r="B44">
        <v>0</v>
      </c>
      <c r="C44">
        <v>0</v>
      </c>
      <c r="D44">
        <v>4.32</v>
      </c>
      <c r="E44">
        <v>9.8000000000000004E-2</v>
      </c>
      <c r="F44">
        <v>0</v>
      </c>
      <c r="G44" t="s">
        <v>239</v>
      </c>
    </row>
    <row r="45" spans="1:7" x14ac:dyDescent="0.3">
      <c r="A45" t="s">
        <v>87</v>
      </c>
      <c r="B45">
        <v>1</v>
      </c>
      <c r="C45">
        <v>50</v>
      </c>
      <c r="D45">
        <v>4.45</v>
      </c>
      <c r="E45">
        <v>0.126</v>
      </c>
      <c r="F45">
        <v>0.21</v>
      </c>
      <c r="G45" t="s">
        <v>240</v>
      </c>
    </row>
    <row r="46" spans="1:7" x14ac:dyDescent="0.3">
      <c r="A46" t="s">
        <v>87</v>
      </c>
      <c r="B46">
        <v>2</v>
      </c>
      <c r="C46">
        <v>100</v>
      </c>
      <c r="D46">
        <v>4.5</v>
      </c>
      <c r="E46">
        <v>0.14299999999999999</v>
      </c>
      <c r="F46">
        <v>0.35</v>
      </c>
      <c r="G46" t="s">
        <v>241</v>
      </c>
    </row>
    <row r="47" spans="1:7" x14ac:dyDescent="0.3">
      <c r="A47" t="s">
        <v>87</v>
      </c>
      <c r="B47">
        <v>3</v>
      </c>
      <c r="C47">
        <v>150</v>
      </c>
      <c r="D47">
        <v>4.2</v>
      </c>
      <c r="E47">
        <v>0.151</v>
      </c>
      <c r="F47">
        <v>0.46</v>
      </c>
      <c r="G47" t="s">
        <v>242</v>
      </c>
    </row>
    <row r="48" spans="1:7" x14ac:dyDescent="0.3">
      <c r="A48" t="s">
        <v>87</v>
      </c>
      <c r="B48">
        <v>4</v>
      </c>
      <c r="C48">
        <v>200</v>
      </c>
      <c r="D48">
        <v>3.6</v>
      </c>
      <c r="E48">
        <v>0.154</v>
      </c>
      <c r="F48">
        <v>0.54</v>
      </c>
      <c r="G48" t="s">
        <v>243</v>
      </c>
    </row>
    <row r="49" spans="1:7" x14ac:dyDescent="0.3">
      <c r="A49" t="s">
        <v>87</v>
      </c>
      <c r="B49">
        <v>5</v>
      </c>
      <c r="C49">
        <v>250</v>
      </c>
      <c r="D49">
        <v>2.83</v>
      </c>
      <c r="E49">
        <v>0.152</v>
      </c>
      <c r="F49">
        <v>0.54</v>
      </c>
      <c r="G49" t="s">
        <v>244</v>
      </c>
    </row>
    <row r="50" spans="1:7" x14ac:dyDescent="0.3">
      <c r="A50" t="s">
        <v>87</v>
      </c>
      <c r="B50">
        <v>6</v>
      </c>
      <c r="C50">
        <v>300</v>
      </c>
      <c r="D50">
        <v>1.81</v>
      </c>
      <c r="E50">
        <v>0.14899999999999999</v>
      </c>
      <c r="F50">
        <v>0.39</v>
      </c>
      <c r="G50" t="s">
        <v>245</v>
      </c>
    </row>
    <row r="51" spans="1:7" x14ac:dyDescent="0.3">
      <c r="A51" t="s">
        <v>87</v>
      </c>
      <c r="B51">
        <v>7</v>
      </c>
      <c r="C51">
        <v>350</v>
      </c>
      <c r="D51">
        <v>0</v>
      </c>
      <c r="E51">
        <v>0.14699999999999999</v>
      </c>
      <c r="F51">
        <v>0</v>
      </c>
      <c r="G51" t="s">
        <v>246</v>
      </c>
    </row>
    <row r="52" spans="1:7" x14ac:dyDescent="0.3">
      <c r="A52" t="s">
        <v>12</v>
      </c>
      <c r="B52">
        <v>0</v>
      </c>
      <c r="C52">
        <v>0</v>
      </c>
      <c r="D52">
        <v>4.88</v>
      </c>
      <c r="E52">
        <v>0.02</v>
      </c>
      <c r="F52">
        <v>0</v>
      </c>
      <c r="G52" t="s">
        <v>247</v>
      </c>
    </row>
    <row r="53" spans="1:7" x14ac:dyDescent="0.3">
      <c r="A53" t="s">
        <v>12</v>
      </c>
      <c r="B53">
        <v>1</v>
      </c>
      <c r="C53">
        <v>5</v>
      </c>
      <c r="D53">
        <v>4.7300000000000004</v>
      </c>
      <c r="E53">
        <v>2.1999999999999999E-2</v>
      </c>
      <c r="F53">
        <v>0.12</v>
      </c>
      <c r="G53" t="s">
        <v>248</v>
      </c>
    </row>
    <row r="54" spans="1:7" x14ac:dyDescent="0.3">
      <c r="A54" t="s">
        <v>12</v>
      </c>
      <c r="B54">
        <v>2</v>
      </c>
      <c r="C54">
        <v>10</v>
      </c>
      <c r="D54">
        <v>4.66</v>
      </c>
      <c r="E54">
        <v>2.5000000000000001E-2</v>
      </c>
      <c r="F54">
        <v>0.21</v>
      </c>
      <c r="G54" t="s">
        <v>249</v>
      </c>
    </row>
    <row r="55" spans="1:7" x14ac:dyDescent="0.3">
      <c r="A55" t="s">
        <v>12</v>
      </c>
      <c r="B55">
        <v>3</v>
      </c>
      <c r="C55">
        <v>15</v>
      </c>
      <c r="D55">
        <v>4.6100000000000003</v>
      </c>
      <c r="E55">
        <v>2.7E-2</v>
      </c>
      <c r="F55">
        <v>0.28999999999999998</v>
      </c>
      <c r="G55" t="s">
        <v>250</v>
      </c>
    </row>
    <row r="56" spans="1:7" x14ac:dyDescent="0.3">
      <c r="A56" t="s">
        <v>12</v>
      </c>
      <c r="B56">
        <v>4</v>
      </c>
      <c r="C56">
        <v>20</v>
      </c>
      <c r="D56">
        <v>4.5199999999999996</v>
      </c>
      <c r="E56">
        <v>0.03</v>
      </c>
      <c r="F56">
        <v>0.35</v>
      </c>
      <c r="G56" t="s">
        <v>251</v>
      </c>
    </row>
    <row r="57" spans="1:7" x14ac:dyDescent="0.3">
      <c r="A57" t="s">
        <v>12</v>
      </c>
      <c r="B57">
        <v>5</v>
      </c>
      <c r="C57">
        <v>25</v>
      </c>
      <c r="D57">
        <v>4.3499999999999996</v>
      </c>
      <c r="E57">
        <v>3.2000000000000001E-2</v>
      </c>
      <c r="F57">
        <v>0.38</v>
      </c>
      <c r="G57" t="s">
        <v>252</v>
      </c>
    </row>
    <row r="58" spans="1:7" x14ac:dyDescent="0.3">
      <c r="A58" t="s">
        <v>12</v>
      </c>
      <c r="B58">
        <v>6</v>
      </c>
      <c r="C58">
        <v>30</v>
      </c>
      <c r="D58">
        <v>4.0999999999999996</v>
      </c>
      <c r="E58">
        <v>3.5000000000000003E-2</v>
      </c>
      <c r="F58">
        <v>0.4</v>
      </c>
      <c r="G58" t="s">
        <v>253</v>
      </c>
    </row>
    <row r="59" spans="1:7" x14ac:dyDescent="0.3">
      <c r="A59" t="s">
        <v>12</v>
      </c>
      <c r="B59">
        <v>7</v>
      </c>
      <c r="C59">
        <v>35</v>
      </c>
      <c r="D59">
        <v>3.74</v>
      </c>
      <c r="E59">
        <v>3.7999999999999999E-2</v>
      </c>
      <c r="F59">
        <v>0.39</v>
      </c>
      <c r="G59" t="s">
        <v>254</v>
      </c>
    </row>
    <row r="60" spans="1:7" x14ac:dyDescent="0.3">
      <c r="A60" t="s">
        <v>12</v>
      </c>
      <c r="B60">
        <v>8</v>
      </c>
      <c r="C60">
        <v>40</v>
      </c>
      <c r="D60">
        <v>3.28</v>
      </c>
      <c r="E60">
        <v>4.1000000000000002E-2</v>
      </c>
      <c r="F60">
        <v>0.37</v>
      </c>
      <c r="G60" t="s">
        <v>255</v>
      </c>
    </row>
    <row r="61" spans="1:7" x14ac:dyDescent="0.3">
      <c r="A61" t="s">
        <v>12</v>
      </c>
      <c r="B61">
        <v>9</v>
      </c>
      <c r="C61">
        <v>45</v>
      </c>
      <c r="D61">
        <v>2.73</v>
      </c>
      <c r="E61">
        <v>4.2999999999999997E-2</v>
      </c>
      <c r="F61">
        <v>0.32</v>
      </c>
      <c r="G61" t="s">
        <v>256</v>
      </c>
    </row>
    <row r="62" spans="1:7" x14ac:dyDescent="0.3">
      <c r="A62" t="s">
        <v>12</v>
      </c>
      <c r="B62">
        <v>10</v>
      </c>
      <c r="C62">
        <v>50</v>
      </c>
      <c r="D62">
        <v>2.11</v>
      </c>
      <c r="E62">
        <v>4.5999999999999999E-2</v>
      </c>
      <c r="F62">
        <v>0.26</v>
      </c>
      <c r="G62" t="s">
        <v>257</v>
      </c>
    </row>
    <row r="63" spans="1:7" x14ac:dyDescent="0.3">
      <c r="A63" t="s">
        <v>12</v>
      </c>
      <c r="B63">
        <v>11</v>
      </c>
      <c r="C63">
        <v>55</v>
      </c>
      <c r="D63">
        <v>1.45</v>
      </c>
      <c r="E63">
        <v>4.9000000000000002E-2</v>
      </c>
      <c r="F63">
        <v>0.19</v>
      </c>
      <c r="G63" t="s">
        <v>258</v>
      </c>
    </row>
    <row r="64" spans="1:7" x14ac:dyDescent="0.3">
      <c r="A64" t="s">
        <v>12</v>
      </c>
      <c r="B64">
        <v>12</v>
      </c>
      <c r="C64">
        <v>60</v>
      </c>
      <c r="D64">
        <v>0.77</v>
      </c>
      <c r="E64">
        <v>5.1999999999999998E-2</v>
      </c>
      <c r="F64">
        <v>0.1</v>
      </c>
      <c r="G64" t="s">
        <v>259</v>
      </c>
    </row>
    <row r="65" spans="1:7" x14ac:dyDescent="0.3">
      <c r="A65" t="s">
        <v>12</v>
      </c>
      <c r="B65">
        <v>13</v>
      </c>
      <c r="C65">
        <v>66</v>
      </c>
      <c r="D65">
        <v>0</v>
      </c>
      <c r="E65">
        <v>5.5E-2</v>
      </c>
      <c r="F65">
        <v>0</v>
      </c>
      <c r="G65" t="s">
        <v>260</v>
      </c>
    </row>
    <row r="66" spans="1:7" x14ac:dyDescent="0.3">
      <c r="A66" t="s">
        <v>90</v>
      </c>
      <c r="B66">
        <v>0</v>
      </c>
      <c r="C66">
        <v>0</v>
      </c>
      <c r="D66">
        <v>6.9</v>
      </c>
      <c r="E66">
        <v>0.08</v>
      </c>
      <c r="F66">
        <v>0</v>
      </c>
      <c r="G66" t="s">
        <v>261</v>
      </c>
    </row>
    <row r="67" spans="1:7" x14ac:dyDescent="0.3">
      <c r="A67" t="s">
        <v>90</v>
      </c>
      <c r="B67">
        <v>1</v>
      </c>
      <c r="C67">
        <v>40</v>
      </c>
      <c r="D67">
        <v>6.9</v>
      </c>
      <c r="E67">
        <v>0.09</v>
      </c>
      <c r="F67">
        <v>0.32</v>
      </c>
      <c r="G67" t="s">
        <v>262</v>
      </c>
    </row>
    <row r="68" spans="1:7" x14ac:dyDescent="0.3">
      <c r="A68" t="s">
        <v>90</v>
      </c>
      <c r="B68">
        <v>2</v>
      </c>
      <c r="C68">
        <v>80</v>
      </c>
      <c r="D68">
        <v>6.4</v>
      </c>
      <c r="E68">
        <v>0.1</v>
      </c>
      <c r="F68">
        <v>0.56000000000000005</v>
      </c>
      <c r="G68" t="s">
        <v>263</v>
      </c>
    </row>
    <row r="69" spans="1:7" x14ac:dyDescent="0.3">
      <c r="A69" t="s">
        <v>90</v>
      </c>
      <c r="B69">
        <v>3</v>
      </c>
      <c r="C69">
        <v>100</v>
      </c>
      <c r="D69">
        <v>5.8</v>
      </c>
      <c r="E69">
        <v>0.11</v>
      </c>
      <c r="F69">
        <v>0.57999999999999996</v>
      </c>
      <c r="G69" t="s">
        <v>264</v>
      </c>
    </row>
    <row r="70" spans="1:7" x14ac:dyDescent="0.3">
      <c r="A70" t="s">
        <v>90</v>
      </c>
      <c r="B70">
        <v>4</v>
      </c>
      <c r="C70">
        <v>120</v>
      </c>
      <c r="D70">
        <v>4.7</v>
      </c>
      <c r="E70">
        <v>0.11799999999999999</v>
      </c>
      <c r="F70">
        <v>0.54</v>
      </c>
      <c r="G70" t="s">
        <v>265</v>
      </c>
    </row>
    <row r="71" spans="1:7" x14ac:dyDescent="0.3">
      <c r="A71" t="s">
        <v>90</v>
      </c>
      <c r="B71">
        <v>5</v>
      </c>
      <c r="C71">
        <v>140</v>
      </c>
      <c r="D71">
        <v>3.4</v>
      </c>
      <c r="E71">
        <v>0.12</v>
      </c>
      <c r="F71">
        <v>0.42</v>
      </c>
      <c r="G71" t="s">
        <v>266</v>
      </c>
    </row>
    <row r="72" spans="1:7" x14ac:dyDescent="0.3">
      <c r="A72" t="s">
        <v>90</v>
      </c>
      <c r="B72">
        <v>6</v>
      </c>
      <c r="C72">
        <v>183</v>
      </c>
      <c r="D72">
        <v>0</v>
      </c>
      <c r="E72">
        <v>0.151</v>
      </c>
      <c r="F72">
        <v>0</v>
      </c>
      <c r="G72" t="s">
        <v>267</v>
      </c>
    </row>
    <row r="73" spans="1:7" x14ac:dyDescent="0.3">
      <c r="A73" t="s">
        <v>93</v>
      </c>
      <c r="B73">
        <v>0</v>
      </c>
      <c r="C73">
        <v>0</v>
      </c>
      <c r="D73">
        <v>6.7</v>
      </c>
      <c r="E73">
        <v>0.106</v>
      </c>
      <c r="F73">
        <v>0</v>
      </c>
      <c r="G73" t="s">
        <v>268</v>
      </c>
    </row>
    <row r="74" spans="1:7" x14ac:dyDescent="0.3">
      <c r="A74" t="s">
        <v>93</v>
      </c>
      <c r="B74">
        <v>1</v>
      </c>
      <c r="C74">
        <v>20</v>
      </c>
      <c r="D74">
        <v>6.72</v>
      </c>
      <c r="E74">
        <v>0.113</v>
      </c>
      <c r="F74">
        <v>0.14000000000000001</v>
      </c>
      <c r="G74" t="s">
        <v>269</v>
      </c>
    </row>
    <row r="75" spans="1:7" x14ac:dyDescent="0.3">
      <c r="A75" t="s">
        <v>93</v>
      </c>
      <c r="B75">
        <v>2</v>
      </c>
      <c r="C75">
        <v>40</v>
      </c>
      <c r="D75">
        <v>6.7</v>
      </c>
      <c r="E75">
        <v>0.12</v>
      </c>
      <c r="F75">
        <v>0.25</v>
      </c>
      <c r="G75" t="s">
        <v>270</v>
      </c>
    </row>
    <row r="76" spans="1:7" x14ac:dyDescent="0.3">
      <c r="A76" t="s">
        <v>93</v>
      </c>
      <c r="B76">
        <v>3</v>
      </c>
      <c r="C76">
        <v>60</v>
      </c>
      <c r="D76">
        <v>6.69</v>
      </c>
      <c r="E76">
        <v>0.126</v>
      </c>
      <c r="F76">
        <v>0.36</v>
      </c>
      <c r="G76" t="s">
        <v>271</v>
      </c>
    </row>
    <row r="77" spans="1:7" x14ac:dyDescent="0.3">
      <c r="A77" t="s">
        <v>93</v>
      </c>
      <c r="B77">
        <v>4</v>
      </c>
      <c r="C77">
        <v>80</v>
      </c>
      <c r="D77">
        <v>6.6</v>
      </c>
      <c r="E77">
        <v>0.13300000000000001</v>
      </c>
      <c r="F77">
        <v>0.46</v>
      </c>
      <c r="G77" t="s">
        <v>272</v>
      </c>
    </row>
    <row r="78" spans="1:7" x14ac:dyDescent="0.3">
      <c r="A78" t="s">
        <v>93</v>
      </c>
      <c r="B78">
        <v>5</v>
      </c>
      <c r="C78">
        <v>100</v>
      </c>
      <c r="D78">
        <v>6.43</v>
      </c>
      <c r="E78">
        <v>0.14000000000000001</v>
      </c>
      <c r="F78">
        <v>0.52</v>
      </c>
      <c r="G78" t="s">
        <v>273</v>
      </c>
    </row>
    <row r="79" spans="1:7" x14ac:dyDescent="0.3">
      <c r="A79" t="s">
        <v>93</v>
      </c>
      <c r="B79">
        <v>6</v>
      </c>
      <c r="C79">
        <v>120</v>
      </c>
      <c r="D79">
        <v>5.92</v>
      </c>
      <c r="E79">
        <v>0.14699999999999999</v>
      </c>
      <c r="F79">
        <v>0.55000000000000004</v>
      </c>
      <c r="G79" t="s">
        <v>274</v>
      </c>
    </row>
    <row r="80" spans="1:7" x14ac:dyDescent="0.3">
      <c r="A80" t="s">
        <v>93</v>
      </c>
      <c r="B80">
        <v>7</v>
      </c>
      <c r="C80">
        <v>125</v>
      </c>
      <c r="D80">
        <v>5.8</v>
      </c>
      <c r="E80">
        <v>0.14799999999999999</v>
      </c>
      <c r="F80">
        <v>0.55000000000000004</v>
      </c>
      <c r="G80" t="s">
        <v>275</v>
      </c>
    </row>
    <row r="81" spans="1:7" x14ac:dyDescent="0.3">
      <c r="A81" t="s">
        <v>93</v>
      </c>
      <c r="B81">
        <v>8</v>
      </c>
      <c r="C81">
        <v>140</v>
      </c>
      <c r="D81">
        <v>5.12</v>
      </c>
      <c r="E81">
        <v>0.154</v>
      </c>
      <c r="F81">
        <v>0.53</v>
      </c>
      <c r="G81" t="s">
        <v>276</v>
      </c>
    </row>
    <row r="82" spans="1:7" x14ac:dyDescent="0.3">
      <c r="A82" t="s">
        <v>93</v>
      </c>
      <c r="B82">
        <v>9</v>
      </c>
      <c r="C82">
        <v>160</v>
      </c>
      <c r="D82">
        <v>4.0999999999999996</v>
      </c>
      <c r="E82">
        <v>0.161</v>
      </c>
      <c r="F82">
        <v>0.46</v>
      </c>
      <c r="G82" t="s">
        <v>277</v>
      </c>
    </row>
    <row r="83" spans="1:7" x14ac:dyDescent="0.3">
      <c r="A83" t="s">
        <v>93</v>
      </c>
      <c r="B83">
        <v>10</v>
      </c>
      <c r="C83">
        <v>180</v>
      </c>
      <c r="D83">
        <v>2.99</v>
      </c>
      <c r="E83">
        <v>0.16900000000000001</v>
      </c>
      <c r="F83">
        <v>0.36</v>
      </c>
      <c r="G83" t="s">
        <v>278</v>
      </c>
    </row>
    <row r="84" spans="1:7" x14ac:dyDescent="0.3">
      <c r="A84" t="s">
        <v>93</v>
      </c>
      <c r="B84">
        <v>11</v>
      </c>
      <c r="C84">
        <v>200</v>
      </c>
      <c r="D84">
        <v>1.9</v>
      </c>
      <c r="E84">
        <v>0.17249999999999999</v>
      </c>
      <c r="F84">
        <v>0.24</v>
      </c>
      <c r="G84" t="s">
        <v>279</v>
      </c>
    </row>
    <row r="85" spans="1:7" x14ac:dyDescent="0.3">
      <c r="A85" t="s">
        <v>93</v>
      </c>
      <c r="B85">
        <v>12</v>
      </c>
      <c r="C85">
        <v>220</v>
      </c>
      <c r="D85">
        <v>0.73</v>
      </c>
      <c r="E85">
        <v>0.16919999999999999</v>
      </c>
      <c r="F85">
        <v>0.1</v>
      </c>
      <c r="G85" t="s">
        <v>280</v>
      </c>
    </row>
    <row r="86" spans="1:7" x14ac:dyDescent="0.3">
      <c r="A86" t="s">
        <v>93</v>
      </c>
      <c r="B86">
        <v>13</v>
      </c>
      <c r="C86">
        <v>230</v>
      </c>
      <c r="D86">
        <v>0</v>
      </c>
      <c r="E86">
        <v>0.16209999999999999</v>
      </c>
      <c r="F86">
        <v>0</v>
      </c>
      <c r="G86" t="s">
        <v>281</v>
      </c>
    </row>
    <row r="87" spans="1:7" x14ac:dyDescent="0.3">
      <c r="A87" t="s">
        <v>95</v>
      </c>
      <c r="B87">
        <v>0</v>
      </c>
      <c r="C87">
        <v>0</v>
      </c>
      <c r="D87">
        <v>9.7055056079999993</v>
      </c>
      <c r="E87">
        <v>0.18305738699999999</v>
      </c>
      <c r="F87">
        <v>0</v>
      </c>
      <c r="G87" t="s">
        <v>282</v>
      </c>
    </row>
    <row r="88" spans="1:7" x14ac:dyDescent="0.3">
      <c r="A88" t="s">
        <v>95</v>
      </c>
      <c r="B88">
        <v>1</v>
      </c>
      <c r="C88">
        <v>9.1999994600000008</v>
      </c>
      <c r="D88">
        <v>9.7732201720000003</v>
      </c>
      <c r="E88">
        <v>0.188028522</v>
      </c>
      <c r="F88">
        <v>5.4294647000000001E-2</v>
      </c>
      <c r="G88" t="s">
        <v>283</v>
      </c>
    </row>
    <row r="89" spans="1:7" x14ac:dyDescent="0.3">
      <c r="A89" t="s">
        <v>95</v>
      </c>
      <c r="B89">
        <v>2</v>
      </c>
      <c r="C89">
        <v>18.399998920000002</v>
      </c>
      <c r="D89">
        <v>9.7692807819999992</v>
      </c>
      <c r="E89">
        <v>0.192680937</v>
      </c>
      <c r="F89">
        <v>0.105924617</v>
      </c>
      <c r="G89" t="s">
        <v>284</v>
      </c>
    </row>
    <row r="90" spans="1:7" x14ac:dyDescent="0.3">
      <c r="A90" t="s">
        <v>95</v>
      </c>
      <c r="B90">
        <v>3</v>
      </c>
      <c r="C90">
        <v>27.599998379999999</v>
      </c>
      <c r="D90">
        <v>9.7343998289999991</v>
      </c>
      <c r="E90">
        <v>0.19714000600000001</v>
      </c>
      <c r="F90">
        <v>0.15473862599999999</v>
      </c>
      <c r="G90" t="s">
        <v>285</v>
      </c>
    </row>
    <row r="91" spans="1:7" x14ac:dyDescent="0.3">
      <c r="A91" t="s">
        <v>95</v>
      </c>
      <c r="B91">
        <v>4</v>
      </c>
      <c r="C91">
        <v>36.799997840000003</v>
      </c>
      <c r="D91">
        <v>9.6945595820000001</v>
      </c>
      <c r="E91">
        <v>0.20149760799999999</v>
      </c>
      <c r="F91">
        <v>0.20103017300000001</v>
      </c>
      <c r="G91" t="s">
        <v>286</v>
      </c>
    </row>
    <row r="92" spans="1:7" x14ac:dyDescent="0.3">
      <c r="A92" t="s">
        <v>95</v>
      </c>
      <c r="B92">
        <v>5</v>
      </c>
      <c r="C92">
        <v>45.999997299999997</v>
      </c>
      <c r="D92">
        <v>9.6637679189999997</v>
      </c>
      <c r="E92">
        <v>0.205817888</v>
      </c>
      <c r="F92">
        <v>0.24523160799999999</v>
      </c>
      <c r="G92" t="s">
        <v>287</v>
      </c>
    </row>
    <row r="93" spans="1:7" x14ac:dyDescent="0.3">
      <c r="A93" t="s">
        <v>95</v>
      </c>
      <c r="B93">
        <v>6</v>
      </c>
      <c r="C93">
        <v>55.199996759999998</v>
      </c>
      <c r="D93">
        <v>9.64658689</v>
      </c>
      <c r="E93">
        <v>0.21014255000000001</v>
      </c>
      <c r="F93">
        <v>0.28770936600000002</v>
      </c>
      <c r="G93" t="s">
        <v>288</v>
      </c>
    </row>
    <row r="94" spans="1:7" x14ac:dyDescent="0.3">
      <c r="A94" t="s">
        <v>95</v>
      </c>
      <c r="B94">
        <v>7</v>
      </c>
      <c r="C94">
        <v>64.399996220000006</v>
      </c>
      <c r="D94">
        <v>9.6404340939999997</v>
      </c>
      <c r="E94">
        <v>0.21449569499999999</v>
      </c>
      <c r="F94">
        <v>0.32863901200000001</v>
      </c>
      <c r="G94" t="s">
        <v>289</v>
      </c>
    </row>
    <row r="95" spans="1:7" x14ac:dyDescent="0.3">
      <c r="A95" t="s">
        <v>95</v>
      </c>
      <c r="B95">
        <v>8</v>
      </c>
      <c r="C95">
        <v>73.599995680000006</v>
      </c>
      <c r="D95">
        <v>9.6376568880000004</v>
      </c>
      <c r="E95">
        <v>0.21888819300000001</v>
      </c>
      <c r="F95">
        <v>0.36794438400000001</v>
      </c>
      <c r="G95" t="s">
        <v>290</v>
      </c>
    </row>
    <row r="96" spans="1:7" x14ac:dyDescent="0.3">
      <c r="A96" t="s">
        <v>95</v>
      </c>
      <c r="B96">
        <v>9</v>
      </c>
      <c r="C96">
        <v>82.799995139999993</v>
      </c>
      <c r="D96">
        <v>9.6273794129999999</v>
      </c>
      <c r="E96">
        <v>0.22332159900000001</v>
      </c>
      <c r="F96">
        <v>0.40528724300000002</v>
      </c>
      <c r="G96" t="s">
        <v>291</v>
      </c>
    </row>
    <row r="97" spans="1:7" x14ac:dyDescent="0.3">
      <c r="A97" t="s">
        <v>95</v>
      </c>
      <c r="B97">
        <v>10</v>
      </c>
      <c r="C97">
        <v>91.999994599999994</v>
      </c>
      <c r="D97">
        <v>9.5971224480000004</v>
      </c>
      <c r="E97">
        <v>0.22779160700000001</v>
      </c>
      <c r="F97">
        <v>0.44009494999999998</v>
      </c>
      <c r="G97" t="s">
        <v>292</v>
      </c>
    </row>
    <row r="98" spans="1:7" x14ac:dyDescent="0.3">
      <c r="A98" t="s">
        <v>95</v>
      </c>
      <c r="B98">
        <v>11</v>
      </c>
      <c r="C98">
        <v>101.1999941</v>
      </c>
      <c r="D98">
        <v>9.5341960869999998</v>
      </c>
      <c r="E98">
        <v>0.23229103800000001</v>
      </c>
      <c r="F98">
        <v>0.471614747</v>
      </c>
      <c r="G98" t="s">
        <v>293</v>
      </c>
    </row>
    <row r="99" spans="1:7" x14ac:dyDescent="0.3">
      <c r="A99" t="s">
        <v>95</v>
      </c>
      <c r="B99">
        <v>12</v>
      </c>
      <c r="C99">
        <v>110.39999349999999</v>
      </c>
      <c r="D99">
        <v>9.4268652349999993</v>
      </c>
      <c r="E99">
        <v>0.23681237799999999</v>
      </c>
      <c r="F99">
        <v>0.49898468099999999</v>
      </c>
      <c r="G99" t="s">
        <v>294</v>
      </c>
    </row>
    <row r="100" spans="1:7" x14ac:dyDescent="0.3">
      <c r="A100" t="s">
        <v>95</v>
      </c>
      <c r="B100">
        <v>13</v>
      </c>
      <c r="C100">
        <v>119.599993</v>
      </c>
      <c r="D100">
        <v>9.2652879329999998</v>
      </c>
      <c r="E100">
        <v>0.24134984300000001</v>
      </c>
      <c r="F100">
        <v>0.52131271700000004</v>
      </c>
      <c r="G100" t="s">
        <v>295</v>
      </c>
    </row>
    <row r="101" spans="1:7" x14ac:dyDescent="0.3">
      <c r="A101" t="s">
        <v>95</v>
      </c>
      <c r="B101">
        <v>14</v>
      </c>
      <c r="C101">
        <v>128.79999240000001</v>
      </c>
      <c r="D101">
        <v>9.0422265040000003</v>
      </c>
      <c r="E101">
        <v>0.24590099400000001</v>
      </c>
      <c r="F101">
        <v>0.53775715800000001</v>
      </c>
      <c r="G101" t="s">
        <v>296</v>
      </c>
    </row>
    <row r="102" spans="1:7" x14ac:dyDescent="0.3">
      <c r="A102" t="s">
        <v>95</v>
      </c>
      <c r="B102">
        <v>15</v>
      </c>
      <c r="C102">
        <v>137.9999919</v>
      </c>
      <c r="D102">
        <v>8.7535315239999996</v>
      </c>
      <c r="E102">
        <v>0.25046788399999997</v>
      </c>
      <c r="F102">
        <v>0.54760269900000003</v>
      </c>
      <c r="G102" t="s">
        <v>297</v>
      </c>
    </row>
    <row r="103" spans="1:7" x14ac:dyDescent="0.3">
      <c r="A103" t="s">
        <v>95</v>
      </c>
      <c r="B103">
        <v>16</v>
      </c>
      <c r="C103">
        <v>147.19999139999999</v>
      </c>
      <c r="D103">
        <v>8.3983986169999998</v>
      </c>
      <c r="E103">
        <v>0.255057745</v>
      </c>
      <c r="F103">
        <v>0.55032724899999996</v>
      </c>
      <c r="G103" t="s">
        <v>298</v>
      </c>
    </row>
    <row r="104" spans="1:7" x14ac:dyDescent="0.3">
      <c r="A104" t="s">
        <v>95</v>
      </c>
      <c r="B104">
        <v>17</v>
      </c>
      <c r="C104">
        <v>156.39999080000001</v>
      </c>
      <c r="D104">
        <v>7.9793980680000001</v>
      </c>
      <c r="E104">
        <v>0.25968322199999999</v>
      </c>
      <c r="F104">
        <v>0.54565511300000002</v>
      </c>
      <c r="G104" t="s">
        <v>299</v>
      </c>
    </row>
    <row r="105" spans="1:7" x14ac:dyDescent="0.3">
      <c r="A105" t="s">
        <v>95</v>
      </c>
      <c r="B105">
        <v>18</v>
      </c>
      <c r="C105">
        <v>165.5999903</v>
      </c>
      <c r="D105">
        <v>7.5022772660000001</v>
      </c>
      <c r="E105">
        <v>0.26436213200000003</v>
      </c>
      <c r="F105">
        <v>0.53359215699999996</v>
      </c>
      <c r="G105" t="s">
        <v>300</v>
      </c>
    </row>
    <row r="106" spans="1:7" x14ac:dyDescent="0.3">
      <c r="A106" t="s">
        <v>95</v>
      </c>
      <c r="B106">
        <v>19</v>
      </c>
      <c r="C106">
        <v>174.7999897</v>
      </c>
      <c r="D106">
        <v>6.9755359700000001</v>
      </c>
      <c r="E106">
        <v>0.26911677699999997</v>
      </c>
      <c r="F106">
        <v>0.51443851699999998</v>
      </c>
      <c r="G106" t="s">
        <v>301</v>
      </c>
    </row>
    <row r="107" spans="1:7" x14ac:dyDescent="0.3">
      <c r="A107" t="s">
        <v>95</v>
      </c>
      <c r="B107">
        <v>20</v>
      </c>
      <c r="C107">
        <v>183.99998919999999</v>
      </c>
      <c r="D107">
        <v>6.4097743960000004</v>
      </c>
      <c r="E107">
        <v>0.27397278600000002</v>
      </c>
      <c r="F107">
        <v>0.48877431900000001</v>
      </c>
      <c r="G107" t="s">
        <v>302</v>
      </c>
    </row>
    <row r="108" spans="1:7" x14ac:dyDescent="0.3">
      <c r="A108" t="s">
        <v>95</v>
      </c>
      <c r="B108">
        <v>21</v>
      </c>
      <c r="C108">
        <v>193.19998870000001</v>
      </c>
      <c r="D108">
        <v>5.8168141259999997</v>
      </c>
      <c r="E108">
        <v>0.27895750400000002</v>
      </c>
      <c r="F108">
        <v>0.45741405000000002</v>
      </c>
      <c r="G108" t="s">
        <v>303</v>
      </c>
    </row>
    <row r="109" spans="1:7" x14ac:dyDescent="0.3">
      <c r="A109" t="s">
        <v>95</v>
      </c>
      <c r="B109">
        <v>22</v>
      </c>
      <c r="C109">
        <v>202.3999881</v>
      </c>
      <c r="D109">
        <v>5.2085918449999999</v>
      </c>
      <c r="E109">
        <v>0.28089999999999998</v>
      </c>
      <c r="F109">
        <v>0.42132578399999998</v>
      </c>
      <c r="G109" t="s">
        <v>304</v>
      </c>
    </row>
    <row r="110" spans="1:7" x14ac:dyDescent="0.3">
      <c r="A110" t="s">
        <v>95</v>
      </c>
      <c r="B110">
        <v>23</v>
      </c>
      <c r="C110">
        <v>211.59998759999999</v>
      </c>
      <c r="D110">
        <v>4.5958259010000004</v>
      </c>
      <c r="E110">
        <v>0.27739999999999998</v>
      </c>
      <c r="F110">
        <v>0.38151253299999999</v>
      </c>
      <c r="G110" t="s">
        <v>305</v>
      </c>
    </row>
    <row r="111" spans="1:7" x14ac:dyDescent="0.3">
      <c r="A111" t="s">
        <v>95</v>
      </c>
      <c r="B111">
        <v>24</v>
      </c>
      <c r="C111">
        <v>220.79998699999999</v>
      </c>
      <c r="D111">
        <v>3.9864556860000002</v>
      </c>
      <c r="E111">
        <v>0.26800000000000002</v>
      </c>
      <c r="F111">
        <v>0.33885442100000002</v>
      </c>
      <c r="G111" t="s">
        <v>306</v>
      </c>
    </row>
    <row r="112" spans="1:7" x14ac:dyDescent="0.3">
      <c r="A112" t="s">
        <v>95</v>
      </c>
      <c r="B112">
        <v>25</v>
      </c>
      <c r="C112">
        <v>229.99998650000001</v>
      </c>
      <c r="D112">
        <v>3.3838538379999998</v>
      </c>
      <c r="E112">
        <v>0.26300000000000001</v>
      </c>
      <c r="F112">
        <v>0.293912057</v>
      </c>
      <c r="G112" t="s">
        <v>307</v>
      </c>
    </row>
    <row r="113" spans="1:7" x14ac:dyDescent="0.3">
      <c r="A113" t="s">
        <v>95</v>
      </c>
      <c r="B113">
        <v>26</v>
      </c>
      <c r="C113">
        <v>239.199986</v>
      </c>
      <c r="D113">
        <v>2.7848112770000002</v>
      </c>
      <c r="E113">
        <v>0.25800000000000001</v>
      </c>
      <c r="F113">
        <v>0.24669282100000001</v>
      </c>
      <c r="G113" t="s">
        <v>308</v>
      </c>
    </row>
    <row r="114" spans="1:7" x14ac:dyDescent="0.3">
      <c r="A114" t="s">
        <v>95</v>
      </c>
      <c r="B114">
        <v>27</v>
      </c>
      <c r="C114">
        <v>248.39998539999999</v>
      </c>
      <c r="D114">
        <v>2.1772950529999999</v>
      </c>
      <c r="E114">
        <v>0.25</v>
      </c>
      <c r="F114">
        <v>0.19638214000000001</v>
      </c>
      <c r="G114" t="s">
        <v>309</v>
      </c>
    </row>
    <row r="115" spans="1:7" x14ac:dyDescent="0.3">
      <c r="A115" t="s">
        <v>95</v>
      </c>
      <c r="B115">
        <v>28</v>
      </c>
      <c r="C115">
        <v>257.59998489999998</v>
      </c>
      <c r="D115">
        <v>1.5379790250000001</v>
      </c>
      <c r="E115">
        <v>0.24429999999999999</v>
      </c>
      <c r="F115">
        <v>0.14104051400000001</v>
      </c>
      <c r="G115" t="s">
        <v>310</v>
      </c>
    </row>
    <row r="116" spans="1:7" x14ac:dyDescent="0.3">
      <c r="A116" t="s">
        <v>95</v>
      </c>
      <c r="B116">
        <v>29</v>
      </c>
      <c r="C116">
        <v>266.79998430000001</v>
      </c>
      <c r="D116">
        <v>0.82954735599999996</v>
      </c>
      <c r="E116">
        <v>0.23130000000000001</v>
      </c>
      <c r="F116">
        <v>7.7262912000000003E-2</v>
      </c>
      <c r="G116" t="s">
        <v>311</v>
      </c>
    </row>
    <row r="117" spans="1:7" x14ac:dyDescent="0.3">
      <c r="A117" t="s">
        <v>96</v>
      </c>
      <c r="B117">
        <v>0</v>
      </c>
      <c r="C117">
        <v>0</v>
      </c>
      <c r="D117">
        <v>7.2</v>
      </c>
      <c r="E117">
        <v>3.4000000000000002E-2</v>
      </c>
      <c r="F117">
        <v>0</v>
      </c>
      <c r="G117" t="s">
        <v>312</v>
      </c>
    </row>
    <row r="118" spans="1:7" x14ac:dyDescent="0.3">
      <c r="A118" t="s">
        <v>96</v>
      </c>
      <c r="B118">
        <v>1</v>
      </c>
      <c r="C118">
        <v>5</v>
      </c>
      <c r="D118">
        <v>6.9</v>
      </c>
      <c r="E118">
        <v>3.2000000000000001E-2</v>
      </c>
      <c r="F118">
        <v>0.12</v>
      </c>
      <c r="G118" t="s">
        <v>313</v>
      </c>
    </row>
    <row r="119" spans="1:7" x14ac:dyDescent="0.3">
      <c r="A119" t="s">
        <v>96</v>
      </c>
      <c r="B119">
        <v>2</v>
      </c>
      <c r="C119">
        <v>10</v>
      </c>
      <c r="D119">
        <v>6.3</v>
      </c>
      <c r="E119">
        <v>3.1E-2</v>
      </c>
      <c r="F119">
        <v>0.24</v>
      </c>
      <c r="G119" t="s">
        <v>314</v>
      </c>
    </row>
    <row r="120" spans="1:7" x14ac:dyDescent="0.3">
      <c r="A120" t="s">
        <v>96</v>
      </c>
      <c r="B120">
        <v>3</v>
      </c>
      <c r="C120">
        <v>15</v>
      </c>
      <c r="D120">
        <v>5.5</v>
      </c>
      <c r="E120">
        <v>3.1E-2</v>
      </c>
      <c r="F120">
        <v>0.3</v>
      </c>
      <c r="G120" t="s">
        <v>315</v>
      </c>
    </row>
    <row r="121" spans="1:7" x14ac:dyDescent="0.3">
      <c r="A121" t="s">
        <v>96</v>
      </c>
      <c r="B121">
        <v>4</v>
      </c>
      <c r="C121">
        <v>20</v>
      </c>
      <c r="D121">
        <v>4.4000000000000004</v>
      </c>
      <c r="E121">
        <v>3.3000000000000002E-2</v>
      </c>
      <c r="F121">
        <v>0.3</v>
      </c>
      <c r="G121" t="s">
        <v>316</v>
      </c>
    </row>
    <row r="122" spans="1:7" x14ac:dyDescent="0.3">
      <c r="A122" t="s">
        <v>96</v>
      </c>
      <c r="B122">
        <v>5</v>
      </c>
      <c r="C122">
        <v>25</v>
      </c>
      <c r="D122">
        <v>3</v>
      </c>
      <c r="E122">
        <v>3.5000000000000003E-2</v>
      </c>
      <c r="F122">
        <v>0.24</v>
      </c>
      <c r="G122" t="s">
        <v>317</v>
      </c>
    </row>
    <row r="123" spans="1:7" x14ac:dyDescent="0.3">
      <c r="A123" t="s">
        <v>96</v>
      </c>
      <c r="B123">
        <v>6</v>
      </c>
      <c r="C123">
        <v>33</v>
      </c>
      <c r="D123">
        <v>0</v>
      </c>
      <c r="E123">
        <v>4.2000000000000003E-2</v>
      </c>
      <c r="F123">
        <v>0</v>
      </c>
      <c r="G123" t="s">
        <v>318</v>
      </c>
    </row>
    <row r="124" spans="1:7" x14ac:dyDescent="0.3">
      <c r="A124" t="s">
        <v>98</v>
      </c>
      <c r="B124">
        <v>0</v>
      </c>
      <c r="C124">
        <v>0</v>
      </c>
      <c r="D124">
        <v>7.1</v>
      </c>
      <c r="E124">
        <v>0.03</v>
      </c>
      <c r="F124">
        <v>0</v>
      </c>
      <c r="G124" t="s">
        <v>319</v>
      </c>
    </row>
    <row r="125" spans="1:7" x14ac:dyDescent="0.3">
      <c r="A125" t="s">
        <v>98</v>
      </c>
      <c r="B125">
        <v>1</v>
      </c>
      <c r="C125">
        <v>10</v>
      </c>
      <c r="D125">
        <v>6.2</v>
      </c>
      <c r="E125">
        <v>2.9000000000000001E-2</v>
      </c>
      <c r="F125">
        <v>0.24</v>
      </c>
      <c r="G125" t="s">
        <v>320</v>
      </c>
    </row>
    <row r="126" spans="1:7" x14ac:dyDescent="0.3">
      <c r="A126" t="s">
        <v>98</v>
      </c>
      <c r="B126">
        <v>2</v>
      </c>
      <c r="C126">
        <v>15</v>
      </c>
      <c r="D126">
        <v>5.6</v>
      </c>
      <c r="E126">
        <v>0.03</v>
      </c>
      <c r="F126">
        <v>0.31</v>
      </c>
      <c r="G126" t="s">
        <v>321</v>
      </c>
    </row>
    <row r="127" spans="1:7" x14ac:dyDescent="0.3">
      <c r="A127" t="s">
        <v>98</v>
      </c>
      <c r="B127">
        <v>3</v>
      </c>
      <c r="C127">
        <v>20</v>
      </c>
      <c r="D127">
        <v>4.7</v>
      </c>
      <c r="E127">
        <v>3.2000000000000001E-2</v>
      </c>
      <c r="F127">
        <v>0.33</v>
      </c>
      <c r="G127" t="s">
        <v>322</v>
      </c>
    </row>
    <row r="128" spans="1:7" x14ac:dyDescent="0.3">
      <c r="A128" t="s">
        <v>98</v>
      </c>
      <c r="B128">
        <v>4</v>
      </c>
      <c r="C128">
        <v>25</v>
      </c>
      <c r="D128">
        <v>3.6</v>
      </c>
      <c r="E128">
        <v>3.5000000000000003E-2</v>
      </c>
      <c r="F128">
        <v>0.28999999999999998</v>
      </c>
      <c r="G128" t="s">
        <v>323</v>
      </c>
    </row>
    <row r="129" spans="1:7" x14ac:dyDescent="0.3">
      <c r="A129" t="s">
        <v>98</v>
      </c>
      <c r="B129">
        <v>5</v>
      </c>
      <c r="C129">
        <v>30</v>
      </c>
      <c r="D129">
        <v>2.5</v>
      </c>
      <c r="E129">
        <v>3.7999999999999999E-2</v>
      </c>
      <c r="F129">
        <v>0.22</v>
      </c>
      <c r="G129" t="s">
        <v>324</v>
      </c>
    </row>
    <row r="130" spans="1:7" x14ac:dyDescent="0.3">
      <c r="A130" t="s">
        <v>98</v>
      </c>
      <c r="B130">
        <v>6</v>
      </c>
      <c r="C130">
        <v>38</v>
      </c>
      <c r="D130">
        <v>0</v>
      </c>
      <c r="E130">
        <v>4.2999999999999997E-2</v>
      </c>
      <c r="F130">
        <v>0</v>
      </c>
      <c r="G130" t="s">
        <v>325</v>
      </c>
    </row>
    <row r="131" spans="1:7" x14ac:dyDescent="0.3">
      <c r="A131" t="s">
        <v>100</v>
      </c>
      <c r="B131">
        <v>0</v>
      </c>
      <c r="C131">
        <v>0</v>
      </c>
      <c r="D131">
        <v>6.13</v>
      </c>
      <c r="E131">
        <v>3.2000000000000001E-2</v>
      </c>
      <c r="F131">
        <v>0</v>
      </c>
      <c r="G131" t="s">
        <v>326</v>
      </c>
    </row>
    <row r="132" spans="1:7" x14ac:dyDescent="0.3">
      <c r="A132" t="s">
        <v>100</v>
      </c>
      <c r="B132">
        <v>1</v>
      </c>
      <c r="C132">
        <v>5</v>
      </c>
      <c r="D132">
        <v>5.94</v>
      </c>
      <c r="E132">
        <v>2.9000000000000001E-2</v>
      </c>
      <c r="F132">
        <v>0.12</v>
      </c>
      <c r="G132" t="s">
        <v>327</v>
      </c>
    </row>
    <row r="133" spans="1:7" x14ac:dyDescent="0.3">
      <c r="A133" t="s">
        <v>100</v>
      </c>
      <c r="B133">
        <v>2</v>
      </c>
      <c r="C133">
        <v>10</v>
      </c>
      <c r="D133">
        <v>5.73</v>
      </c>
      <c r="E133">
        <v>3.1E-2</v>
      </c>
      <c r="F133">
        <v>0.21</v>
      </c>
      <c r="G133" t="s">
        <v>328</v>
      </c>
    </row>
    <row r="134" spans="1:7" x14ac:dyDescent="0.3">
      <c r="A134" t="s">
        <v>100</v>
      </c>
      <c r="B134">
        <v>3</v>
      </c>
      <c r="C134">
        <v>15</v>
      </c>
      <c r="D134">
        <v>5.4</v>
      </c>
      <c r="E134">
        <v>3.2000000000000001E-2</v>
      </c>
      <c r="F134">
        <v>0.28000000000000003</v>
      </c>
      <c r="G134" t="s">
        <v>329</v>
      </c>
    </row>
    <row r="135" spans="1:7" x14ac:dyDescent="0.3">
      <c r="A135" t="s">
        <v>100</v>
      </c>
      <c r="B135">
        <v>4</v>
      </c>
      <c r="C135">
        <v>18</v>
      </c>
      <c r="D135">
        <v>5.14</v>
      </c>
      <c r="E135">
        <v>3.4000000000000002E-2</v>
      </c>
      <c r="F135">
        <v>0.31</v>
      </c>
      <c r="G135" t="s">
        <v>330</v>
      </c>
    </row>
    <row r="136" spans="1:7" x14ac:dyDescent="0.3">
      <c r="A136" t="s">
        <v>100</v>
      </c>
      <c r="B136">
        <v>5</v>
      </c>
      <c r="C136">
        <v>20</v>
      </c>
      <c r="D136">
        <v>4.96</v>
      </c>
      <c r="E136">
        <v>3.5000000000000003E-2</v>
      </c>
      <c r="F136">
        <v>0.33</v>
      </c>
      <c r="G136" t="s">
        <v>331</v>
      </c>
    </row>
    <row r="137" spans="1:7" x14ac:dyDescent="0.3">
      <c r="A137" t="s">
        <v>100</v>
      </c>
      <c r="B137">
        <v>6</v>
      </c>
      <c r="C137">
        <v>25</v>
      </c>
      <c r="D137">
        <v>4.5199999999999996</v>
      </c>
      <c r="E137">
        <v>3.6999999999999998E-2</v>
      </c>
      <c r="F137">
        <v>0.35</v>
      </c>
      <c r="G137" t="s">
        <v>332</v>
      </c>
    </row>
    <row r="138" spans="1:7" x14ac:dyDescent="0.3">
      <c r="A138" t="s">
        <v>100</v>
      </c>
      <c r="B138">
        <v>7</v>
      </c>
      <c r="C138">
        <v>30</v>
      </c>
      <c r="D138">
        <v>4.03</v>
      </c>
      <c r="E138">
        <v>0.04</v>
      </c>
      <c r="F138">
        <v>0.35</v>
      </c>
      <c r="G138" t="s">
        <v>333</v>
      </c>
    </row>
    <row r="139" spans="1:7" x14ac:dyDescent="0.3">
      <c r="A139" t="s">
        <v>100</v>
      </c>
      <c r="B139">
        <v>8</v>
      </c>
      <c r="C139">
        <v>35</v>
      </c>
      <c r="D139">
        <v>3.55</v>
      </c>
      <c r="E139">
        <v>4.2000000000000003E-2</v>
      </c>
      <c r="F139">
        <v>0.34</v>
      </c>
      <c r="G139" t="s">
        <v>334</v>
      </c>
    </row>
    <row r="140" spans="1:7" x14ac:dyDescent="0.3">
      <c r="A140" t="s">
        <v>100</v>
      </c>
      <c r="B140">
        <v>9</v>
      </c>
      <c r="C140">
        <v>40</v>
      </c>
      <c r="D140">
        <v>2.98</v>
      </c>
      <c r="E140">
        <v>4.4999999999999998E-2</v>
      </c>
      <c r="F140">
        <v>0.3</v>
      </c>
      <c r="G140" t="s">
        <v>335</v>
      </c>
    </row>
    <row r="141" spans="1:7" x14ac:dyDescent="0.3">
      <c r="A141" t="s">
        <v>100</v>
      </c>
      <c r="B141">
        <v>10</v>
      </c>
      <c r="C141">
        <v>45</v>
      </c>
      <c r="D141">
        <v>2.29</v>
      </c>
      <c r="E141">
        <v>4.8000000000000001E-2</v>
      </c>
      <c r="F141">
        <v>0.24</v>
      </c>
      <c r="G141" t="s">
        <v>336</v>
      </c>
    </row>
    <row r="142" spans="1:7" x14ac:dyDescent="0.3">
      <c r="A142" t="s">
        <v>100</v>
      </c>
      <c r="B142">
        <v>11</v>
      </c>
      <c r="C142">
        <v>50</v>
      </c>
      <c r="D142">
        <v>1.38</v>
      </c>
      <c r="E142">
        <v>5.0999999999999997E-2</v>
      </c>
      <c r="F142">
        <v>0.15</v>
      </c>
      <c r="G142" t="s">
        <v>337</v>
      </c>
    </row>
    <row r="143" spans="1:7" x14ac:dyDescent="0.3">
      <c r="A143" t="s">
        <v>100</v>
      </c>
      <c r="B143">
        <v>12</v>
      </c>
      <c r="C143">
        <v>56.5</v>
      </c>
      <c r="D143">
        <v>0</v>
      </c>
      <c r="E143">
        <v>5.6000000000000001E-2</v>
      </c>
      <c r="F143">
        <v>0</v>
      </c>
      <c r="G143" t="s">
        <v>338</v>
      </c>
    </row>
    <row r="144" spans="1:7" x14ac:dyDescent="0.3">
      <c r="A144" t="s">
        <v>102</v>
      </c>
      <c r="B144">
        <v>0</v>
      </c>
      <c r="C144">
        <v>0</v>
      </c>
      <c r="D144">
        <v>6.2</v>
      </c>
      <c r="E144">
        <v>3.2000000000000001E-2</v>
      </c>
      <c r="F144">
        <v>0</v>
      </c>
      <c r="G144" t="s">
        <v>339</v>
      </c>
    </row>
    <row r="145" spans="1:7" x14ac:dyDescent="0.3">
      <c r="A145" t="s">
        <v>102</v>
      </c>
      <c r="B145">
        <v>1</v>
      </c>
      <c r="C145">
        <v>10</v>
      </c>
      <c r="D145">
        <v>5.9</v>
      </c>
      <c r="E145">
        <v>0.03</v>
      </c>
      <c r="F145">
        <v>0.22</v>
      </c>
      <c r="G145" t="s">
        <v>340</v>
      </c>
    </row>
    <row r="146" spans="1:7" x14ac:dyDescent="0.3">
      <c r="A146" t="s">
        <v>102</v>
      </c>
      <c r="B146">
        <v>2</v>
      </c>
      <c r="C146">
        <v>20</v>
      </c>
      <c r="D146">
        <v>5.4</v>
      </c>
      <c r="E146">
        <v>3.2000000000000001E-2</v>
      </c>
      <c r="F146">
        <v>0.38</v>
      </c>
      <c r="G146" t="s">
        <v>341</v>
      </c>
    </row>
    <row r="147" spans="1:7" x14ac:dyDescent="0.3">
      <c r="A147" t="s">
        <v>102</v>
      </c>
      <c r="B147">
        <v>3</v>
      </c>
      <c r="C147">
        <v>30</v>
      </c>
      <c r="D147">
        <v>4.8</v>
      </c>
      <c r="E147">
        <v>3.6999999999999998E-2</v>
      </c>
      <c r="F147">
        <v>0.44</v>
      </c>
      <c r="G147" t="s">
        <v>342</v>
      </c>
    </row>
    <row r="148" spans="1:7" x14ac:dyDescent="0.3">
      <c r="A148" t="s">
        <v>102</v>
      </c>
      <c r="B148">
        <v>4</v>
      </c>
      <c r="C148">
        <v>45</v>
      </c>
      <c r="D148">
        <v>2.7</v>
      </c>
      <c r="E148">
        <v>4.2999999999999997E-2</v>
      </c>
      <c r="F148">
        <v>0.32</v>
      </c>
      <c r="G148" t="s">
        <v>343</v>
      </c>
    </row>
    <row r="149" spans="1:7" x14ac:dyDescent="0.3">
      <c r="A149" t="s">
        <v>102</v>
      </c>
      <c r="B149">
        <v>5</v>
      </c>
      <c r="C149">
        <v>50</v>
      </c>
      <c r="D149">
        <v>1.7</v>
      </c>
      <c r="E149">
        <v>4.4999999999999998E-2</v>
      </c>
      <c r="F149">
        <v>0.22</v>
      </c>
      <c r="G149" t="s">
        <v>344</v>
      </c>
    </row>
    <row r="150" spans="1:7" x14ac:dyDescent="0.3">
      <c r="A150" t="s">
        <v>102</v>
      </c>
      <c r="B150">
        <v>6</v>
      </c>
      <c r="C150">
        <v>58</v>
      </c>
      <c r="D150">
        <v>0</v>
      </c>
      <c r="E150">
        <v>5.0999999999999997E-2</v>
      </c>
      <c r="F150">
        <v>0</v>
      </c>
      <c r="G150" t="s">
        <v>345</v>
      </c>
    </row>
    <row r="151" spans="1:7" x14ac:dyDescent="0.3">
      <c r="A151" t="s">
        <v>104</v>
      </c>
      <c r="B151">
        <v>0</v>
      </c>
      <c r="C151">
        <v>0</v>
      </c>
      <c r="D151">
        <v>6.1</v>
      </c>
      <c r="E151">
        <v>3.7999999999999999E-2</v>
      </c>
      <c r="F151">
        <v>0</v>
      </c>
      <c r="G151" t="s">
        <v>346</v>
      </c>
    </row>
    <row r="152" spans="1:7" x14ac:dyDescent="0.3">
      <c r="A152" t="s">
        <v>104</v>
      </c>
      <c r="B152">
        <v>1</v>
      </c>
      <c r="C152">
        <v>10</v>
      </c>
      <c r="D152">
        <v>6</v>
      </c>
      <c r="E152">
        <v>3.7999999999999999E-2</v>
      </c>
      <c r="F152">
        <v>0.17</v>
      </c>
      <c r="G152" t="s">
        <v>347</v>
      </c>
    </row>
    <row r="153" spans="1:7" x14ac:dyDescent="0.3">
      <c r="A153" t="s">
        <v>104</v>
      </c>
      <c r="B153">
        <v>2</v>
      </c>
      <c r="C153">
        <v>22</v>
      </c>
      <c r="D153">
        <v>5.4</v>
      </c>
      <c r="E153">
        <v>3.9E-2</v>
      </c>
      <c r="F153">
        <v>0.35</v>
      </c>
      <c r="G153" t="s">
        <v>348</v>
      </c>
    </row>
    <row r="154" spans="1:7" x14ac:dyDescent="0.3">
      <c r="A154" t="s">
        <v>104</v>
      </c>
      <c r="B154">
        <v>3</v>
      </c>
      <c r="C154">
        <v>35</v>
      </c>
      <c r="D154">
        <v>4.5999999999999996</v>
      </c>
      <c r="E154">
        <v>4.2000000000000003E-2</v>
      </c>
      <c r="F154">
        <v>0.43</v>
      </c>
      <c r="G154" t="s">
        <v>349</v>
      </c>
    </row>
    <row r="155" spans="1:7" x14ac:dyDescent="0.3">
      <c r="A155" t="s">
        <v>104</v>
      </c>
      <c r="B155">
        <v>4</v>
      </c>
      <c r="C155">
        <v>50</v>
      </c>
      <c r="D155">
        <v>3</v>
      </c>
      <c r="E155">
        <v>4.8000000000000001E-2</v>
      </c>
      <c r="F155">
        <v>0.35</v>
      </c>
      <c r="G155" t="s">
        <v>350</v>
      </c>
    </row>
    <row r="156" spans="1:7" x14ac:dyDescent="0.3">
      <c r="A156" t="s">
        <v>104</v>
      </c>
      <c r="B156">
        <v>5</v>
      </c>
      <c r="C156">
        <v>60</v>
      </c>
      <c r="D156">
        <v>1.2</v>
      </c>
      <c r="E156">
        <v>5.2999999999999999E-2</v>
      </c>
      <c r="F156">
        <v>0.17</v>
      </c>
      <c r="G156" t="s">
        <v>351</v>
      </c>
    </row>
    <row r="157" spans="1:7" x14ac:dyDescent="0.3">
      <c r="A157" t="s">
        <v>104</v>
      </c>
      <c r="B157">
        <v>6</v>
      </c>
      <c r="C157">
        <v>66</v>
      </c>
      <c r="D157">
        <v>0</v>
      </c>
      <c r="E157">
        <v>5.7000000000000002E-2</v>
      </c>
      <c r="F157">
        <v>0</v>
      </c>
      <c r="G157" t="s">
        <v>352</v>
      </c>
    </row>
    <row r="158" spans="1:7" x14ac:dyDescent="0.3">
      <c r="A158" t="s">
        <v>106</v>
      </c>
      <c r="B158">
        <v>0</v>
      </c>
      <c r="C158">
        <v>0</v>
      </c>
      <c r="D158">
        <v>6.5</v>
      </c>
      <c r="E158">
        <v>5.6000000000000001E-2</v>
      </c>
      <c r="F158">
        <v>0</v>
      </c>
      <c r="G158" t="s">
        <v>353</v>
      </c>
    </row>
    <row r="159" spans="1:7" x14ac:dyDescent="0.3">
      <c r="A159" t="s">
        <v>106</v>
      </c>
      <c r="B159">
        <v>1</v>
      </c>
      <c r="C159">
        <v>15</v>
      </c>
      <c r="D159">
        <v>6.2</v>
      </c>
      <c r="E159">
        <v>0.05</v>
      </c>
      <c r="F159">
        <v>0.21</v>
      </c>
      <c r="G159" t="s">
        <v>354</v>
      </c>
    </row>
    <row r="160" spans="1:7" x14ac:dyDescent="0.3">
      <c r="A160" t="s">
        <v>106</v>
      </c>
      <c r="B160">
        <v>2</v>
      </c>
      <c r="C160">
        <v>32</v>
      </c>
      <c r="D160">
        <v>5.9</v>
      </c>
      <c r="E160">
        <v>5.3999999999999999E-2</v>
      </c>
      <c r="F160">
        <v>0.4</v>
      </c>
      <c r="G160" t="s">
        <v>355</v>
      </c>
    </row>
    <row r="161" spans="1:7" x14ac:dyDescent="0.3">
      <c r="A161" t="s">
        <v>106</v>
      </c>
      <c r="B161">
        <v>3</v>
      </c>
      <c r="C161">
        <v>44</v>
      </c>
      <c r="D161">
        <v>5.5</v>
      </c>
      <c r="E161">
        <v>5.8000000000000003E-2</v>
      </c>
      <c r="F161">
        <v>0.47</v>
      </c>
      <c r="G161" t="s">
        <v>356</v>
      </c>
    </row>
    <row r="162" spans="1:7" x14ac:dyDescent="0.3">
      <c r="A162" t="s">
        <v>106</v>
      </c>
      <c r="B162">
        <v>4</v>
      </c>
      <c r="C162">
        <v>60</v>
      </c>
      <c r="D162">
        <v>4.4000000000000004</v>
      </c>
      <c r="E162">
        <v>6.4000000000000001E-2</v>
      </c>
      <c r="F162">
        <v>0.46</v>
      </c>
      <c r="G162" t="s">
        <v>357</v>
      </c>
    </row>
    <row r="163" spans="1:7" x14ac:dyDescent="0.3">
      <c r="A163" t="s">
        <v>106</v>
      </c>
      <c r="B163">
        <v>5</v>
      </c>
      <c r="C163">
        <v>75</v>
      </c>
      <c r="D163">
        <v>2.9</v>
      </c>
      <c r="E163">
        <v>7.0000000000000007E-2</v>
      </c>
      <c r="F163">
        <v>0.35</v>
      </c>
      <c r="G163" t="s">
        <v>358</v>
      </c>
    </row>
    <row r="164" spans="1:7" x14ac:dyDescent="0.3">
      <c r="A164" t="s">
        <v>106</v>
      </c>
      <c r="B164">
        <v>6</v>
      </c>
      <c r="C164">
        <v>95</v>
      </c>
      <c r="D164">
        <v>0.3</v>
      </c>
      <c r="E164">
        <v>7.5999999999999998E-2</v>
      </c>
      <c r="F164">
        <v>0</v>
      </c>
      <c r="G164" t="s">
        <v>359</v>
      </c>
    </row>
    <row r="165" spans="1:7" x14ac:dyDescent="0.3">
      <c r="A165" t="s">
        <v>108</v>
      </c>
      <c r="B165">
        <v>0</v>
      </c>
      <c r="C165">
        <v>0</v>
      </c>
      <c r="D165">
        <v>6.5</v>
      </c>
      <c r="E165">
        <v>5.6000000000000001E-2</v>
      </c>
      <c r="F165">
        <v>0</v>
      </c>
      <c r="G165" t="s">
        <v>360</v>
      </c>
    </row>
    <row r="166" spans="1:7" x14ac:dyDescent="0.3">
      <c r="A166" t="s">
        <v>108</v>
      </c>
      <c r="B166">
        <v>1</v>
      </c>
      <c r="C166">
        <v>20</v>
      </c>
      <c r="D166">
        <v>6.2</v>
      </c>
      <c r="E166">
        <v>5.0999999999999997E-2</v>
      </c>
      <c r="F166">
        <v>0.27</v>
      </c>
      <c r="G166" t="s">
        <v>361</v>
      </c>
    </row>
    <row r="167" spans="1:7" x14ac:dyDescent="0.3">
      <c r="A167" t="s">
        <v>108</v>
      </c>
      <c r="B167">
        <v>2</v>
      </c>
      <c r="C167">
        <v>35</v>
      </c>
      <c r="D167">
        <v>5.8</v>
      </c>
      <c r="E167">
        <v>5.5E-2</v>
      </c>
      <c r="F167">
        <v>0.42</v>
      </c>
      <c r="G167" t="s">
        <v>362</v>
      </c>
    </row>
    <row r="168" spans="1:7" x14ac:dyDescent="0.3">
      <c r="A168" t="s">
        <v>108</v>
      </c>
      <c r="B168">
        <v>3</v>
      </c>
      <c r="C168">
        <v>50</v>
      </c>
      <c r="D168">
        <v>5.0999999999999996</v>
      </c>
      <c r="E168">
        <v>0.06</v>
      </c>
      <c r="F168">
        <v>0.48</v>
      </c>
      <c r="G168" t="s">
        <v>363</v>
      </c>
    </row>
    <row r="169" spans="1:7" x14ac:dyDescent="0.3">
      <c r="A169" t="s">
        <v>108</v>
      </c>
      <c r="B169">
        <v>4</v>
      </c>
      <c r="C169">
        <v>65</v>
      </c>
      <c r="D169">
        <v>3.9</v>
      </c>
      <c r="E169">
        <v>6.6000000000000003E-2</v>
      </c>
      <c r="F169">
        <v>0.44</v>
      </c>
      <c r="G169" t="s">
        <v>364</v>
      </c>
    </row>
    <row r="170" spans="1:7" x14ac:dyDescent="0.3">
      <c r="A170" t="s">
        <v>108</v>
      </c>
      <c r="B170">
        <v>5</v>
      </c>
      <c r="C170">
        <v>75</v>
      </c>
      <c r="D170">
        <v>2.9</v>
      </c>
      <c r="E170">
        <v>7.0000000000000007E-2</v>
      </c>
      <c r="F170">
        <v>0.35</v>
      </c>
      <c r="G170" t="s">
        <v>365</v>
      </c>
    </row>
    <row r="171" spans="1:7" x14ac:dyDescent="0.3">
      <c r="A171" t="s">
        <v>108</v>
      </c>
      <c r="B171">
        <v>6</v>
      </c>
      <c r="C171">
        <v>85</v>
      </c>
      <c r="D171">
        <v>1.7</v>
      </c>
      <c r="E171">
        <v>7.1999999999999995E-2</v>
      </c>
      <c r="F171">
        <v>0.19</v>
      </c>
      <c r="G171" t="s">
        <v>366</v>
      </c>
    </row>
    <row r="172" spans="1:7" x14ac:dyDescent="0.3">
      <c r="A172" t="s">
        <v>108</v>
      </c>
      <c r="B172">
        <v>7</v>
      </c>
      <c r="C172">
        <v>95</v>
      </c>
      <c r="D172">
        <v>0</v>
      </c>
      <c r="E172">
        <v>7.5999999999999998E-2</v>
      </c>
      <c r="F172">
        <v>0</v>
      </c>
      <c r="G172" t="s">
        <v>367</v>
      </c>
    </row>
    <row r="173" spans="1:7" x14ac:dyDescent="0.3">
      <c r="A173" t="s">
        <v>110</v>
      </c>
      <c r="B173">
        <v>0</v>
      </c>
      <c r="C173">
        <v>0</v>
      </c>
      <c r="D173">
        <v>3.9</v>
      </c>
      <c r="E173">
        <v>0.21</v>
      </c>
      <c r="F173">
        <v>0</v>
      </c>
      <c r="G173" t="s">
        <v>368</v>
      </c>
    </row>
    <row r="174" spans="1:7" x14ac:dyDescent="0.3">
      <c r="A174" t="s">
        <v>110</v>
      </c>
      <c r="B174">
        <v>1</v>
      </c>
      <c r="C174">
        <v>60</v>
      </c>
      <c r="D174">
        <v>3.85</v>
      </c>
      <c r="E174">
        <v>0.22</v>
      </c>
      <c r="F174">
        <v>0.09</v>
      </c>
      <c r="G174" t="s">
        <v>369</v>
      </c>
    </row>
    <row r="175" spans="1:7" x14ac:dyDescent="0.3">
      <c r="A175" t="s">
        <v>110</v>
      </c>
      <c r="B175">
        <v>2</v>
      </c>
      <c r="C175">
        <v>120</v>
      </c>
      <c r="D175">
        <v>3.87</v>
      </c>
      <c r="E175">
        <v>0.23</v>
      </c>
      <c r="F175">
        <v>0.2</v>
      </c>
      <c r="G175" t="s">
        <v>370</v>
      </c>
    </row>
    <row r="176" spans="1:7" x14ac:dyDescent="0.3">
      <c r="A176" t="s">
        <v>110</v>
      </c>
      <c r="B176">
        <v>3</v>
      </c>
      <c r="C176">
        <v>200</v>
      </c>
      <c r="D176">
        <v>3.9</v>
      </c>
      <c r="E176">
        <v>0.26</v>
      </c>
      <c r="F176">
        <v>0.34</v>
      </c>
      <c r="G176" t="s">
        <v>371</v>
      </c>
    </row>
    <row r="177" spans="1:7" x14ac:dyDescent="0.3">
      <c r="A177" t="s">
        <v>110</v>
      </c>
      <c r="B177">
        <v>4</v>
      </c>
      <c r="C177">
        <v>350</v>
      </c>
      <c r="D177">
        <v>3.8</v>
      </c>
      <c r="E177">
        <v>0.29399999999999998</v>
      </c>
      <c r="F177">
        <v>0.51</v>
      </c>
      <c r="G177" t="s">
        <v>372</v>
      </c>
    </row>
    <row r="178" spans="1:7" x14ac:dyDescent="0.3">
      <c r="A178" t="s">
        <v>110</v>
      </c>
      <c r="B178">
        <v>5</v>
      </c>
      <c r="C178">
        <v>500</v>
      </c>
      <c r="D178">
        <v>3.4</v>
      </c>
      <c r="E178">
        <v>0.3</v>
      </c>
      <c r="F178">
        <v>0.63</v>
      </c>
      <c r="G178" t="s">
        <v>373</v>
      </c>
    </row>
    <row r="179" spans="1:7" x14ac:dyDescent="0.3">
      <c r="A179" t="s">
        <v>110</v>
      </c>
      <c r="B179">
        <v>6</v>
      </c>
      <c r="C179">
        <v>600</v>
      </c>
      <c r="D179">
        <v>2.8</v>
      </c>
      <c r="E179">
        <v>0.28999999999999998</v>
      </c>
      <c r="F179">
        <v>0.66</v>
      </c>
      <c r="G179" t="s">
        <v>374</v>
      </c>
    </row>
    <row r="180" spans="1:7" x14ac:dyDescent="0.3">
      <c r="A180" t="s">
        <v>110</v>
      </c>
      <c r="B180">
        <v>7</v>
      </c>
      <c r="C180">
        <v>700</v>
      </c>
      <c r="D180">
        <v>1.9</v>
      </c>
      <c r="E180">
        <v>0.27200000000000002</v>
      </c>
      <c r="F180">
        <v>0.56999999999999995</v>
      </c>
      <c r="G180" t="s">
        <v>375</v>
      </c>
    </row>
    <row r="181" spans="1:7" x14ac:dyDescent="0.3">
      <c r="A181" t="s">
        <v>110</v>
      </c>
      <c r="B181">
        <v>8</v>
      </c>
      <c r="C181">
        <v>760</v>
      </c>
      <c r="D181">
        <v>1.2</v>
      </c>
      <c r="E181">
        <v>0.26</v>
      </c>
      <c r="F181">
        <v>0.39</v>
      </c>
      <c r="G181" t="s">
        <v>376</v>
      </c>
    </row>
    <row r="182" spans="1:7" x14ac:dyDescent="0.3">
      <c r="A182" t="s">
        <v>110</v>
      </c>
      <c r="B182">
        <v>9</v>
      </c>
      <c r="C182">
        <v>840</v>
      </c>
      <c r="D182">
        <v>0</v>
      </c>
      <c r="E182">
        <v>0.23</v>
      </c>
      <c r="F182">
        <v>0</v>
      </c>
      <c r="G182" t="s">
        <v>377</v>
      </c>
    </row>
    <row r="183" spans="1:7" x14ac:dyDescent="0.3">
      <c r="A183" t="s">
        <v>112</v>
      </c>
      <c r="B183">
        <v>0</v>
      </c>
      <c r="C183">
        <v>0</v>
      </c>
      <c r="D183">
        <v>6.69</v>
      </c>
      <c r="E183">
        <v>6.3E-2</v>
      </c>
      <c r="F183">
        <v>0</v>
      </c>
      <c r="G183" t="s">
        <v>378</v>
      </c>
    </row>
    <row r="184" spans="1:7" x14ac:dyDescent="0.3">
      <c r="A184" t="s">
        <v>112</v>
      </c>
      <c r="B184">
        <v>1</v>
      </c>
      <c r="C184">
        <v>10</v>
      </c>
      <c r="D184">
        <v>6.37</v>
      </c>
      <c r="E184">
        <v>5.8000000000000003E-2</v>
      </c>
      <c r="F184">
        <v>0.13</v>
      </c>
      <c r="G184" t="s">
        <v>379</v>
      </c>
    </row>
    <row r="185" spans="1:7" x14ac:dyDescent="0.3">
      <c r="A185" t="s">
        <v>112</v>
      </c>
      <c r="B185">
        <v>2</v>
      </c>
      <c r="C185">
        <v>20</v>
      </c>
      <c r="D185">
        <v>6.27</v>
      </c>
      <c r="E185">
        <v>5.8000000000000003E-2</v>
      </c>
      <c r="F185">
        <v>0.24</v>
      </c>
      <c r="G185" t="s">
        <v>380</v>
      </c>
    </row>
    <row r="186" spans="1:7" x14ac:dyDescent="0.3">
      <c r="A186" t="s">
        <v>112</v>
      </c>
      <c r="B186">
        <v>3</v>
      </c>
      <c r="C186">
        <v>30</v>
      </c>
      <c r="D186">
        <v>6.18</v>
      </c>
      <c r="E186">
        <v>0.06</v>
      </c>
      <c r="F186">
        <v>0.35</v>
      </c>
      <c r="G186" t="s">
        <v>381</v>
      </c>
    </row>
    <row r="187" spans="1:7" x14ac:dyDescent="0.3">
      <c r="A187" t="s">
        <v>112</v>
      </c>
      <c r="B187">
        <v>4</v>
      </c>
      <c r="C187">
        <v>40</v>
      </c>
      <c r="D187">
        <v>6.04</v>
      </c>
      <c r="E187">
        <v>6.4000000000000001E-2</v>
      </c>
      <c r="F187">
        <v>0.43</v>
      </c>
      <c r="G187" t="s">
        <v>382</v>
      </c>
    </row>
    <row r="188" spans="1:7" x14ac:dyDescent="0.3">
      <c r="A188" t="s">
        <v>112</v>
      </c>
      <c r="B188">
        <v>5</v>
      </c>
      <c r="C188">
        <v>50</v>
      </c>
      <c r="D188">
        <v>5.83</v>
      </c>
      <c r="E188">
        <v>6.8000000000000005E-2</v>
      </c>
      <c r="F188">
        <v>0.49</v>
      </c>
      <c r="G188" t="s">
        <v>383</v>
      </c>
    </row>
    <row r="189" spans="1:7" x14ac:dyDescent="0.3">
      <c r="A189" t="s">
        <v>112</v>
      </c>
      <c r="B189">
        <v>6</v>
      </c>
      <c r="C189">
        <v>59</v>
      </c>
      <c r="D189">
        <v>5.55</v>
      </c>
      <c r="E189">
        <v>7.2999999999999995E-2</v>
      </c>
      <c r="F189">
        <v>0.52</v>
      </c>
      <c r="G189" t="s">
        <v>384</v>
      </c>
    </row>
    <row r="190" spans="1:7" x14ac:dyDescent="0.3">
      <c r="A190" t="s">
        <v>112</v>
      </c>
      <c r="B190">
        <v>7</v>
      </c>
      <c r="C190">
        <v>70</v>
      </c>
      <c r="D190">
        <v>5.0599999999999996</v>
      </c>
      <c r="E190">
        <v>7.8E-2</v>
      </c>
      <c r="F190">
        <v>0.52</v>
      </c>
      <c r="G190" t="s">
        <v>385</v>
      </c>
    </row>
    <row r="191" spans="1:7" x14ac:dyDescent="0.3">
      <c r="A191" t="s">
        <v>112</v>
      </c>
      <c r="B191">
        <v>8</v>
      </c>
      <c r="C191">
        <v>75</v>
      </c>
      <c r="D191">
        <v>4.76</v>
      </c>
      <c r="E191">
        <v>0.08</v>
      </c>
      <c r="F191">
        <v>0.51</v>
      </c>
      <c r="G191" t="s">
        <v>386</v>
      </c>
    </row>
    <row r="192" spans="1:7" x14ac:dyDescent="0.3">
      <c r="A192" t="s">
        <v>112</v>
      </c>
      <c r="B192">
        <v>9</v>
      </c>
      <c r="C192">
        <v>80</v>
      </c>
      <c r="D192">
        <v>4.42</v>
      </c>
      <c r="E192">
        <v>8.2000000000000003E-2</v>
      </c>
      <c r="F192">
        <v>0.49</v>
      </c>
      <c r="G192" t="s">
        <v>387</v>
      </c>
    </row>
    <row r="193" spans="1:7" x14ac:dyDescent="0.3">
      <c r="A193" t="s">
        <v>112</v>
      </c>
      <c r="B193">
        <v>10</v>
      </c>
      <c r="C193">
        <v>90</v>
      </c>
      <c r="D193">
        <v>3.6</v>
      </c>
      <c r="E193">
        <v>8.5999999999999993E-2</v>
      </c>
      <c r="F193">
        <v>0.42</v>
      </c>
      <c r="G193" t="s">
        <v>388</v>
      </c>
    </row>
    <row r="194" spans="1:7" x14ac:dyDescent="0.3">
      <c r="A194" t="s">
        <v>112</v>
      </c>
      <c r="B194">
        <v>11</v>
      </c>
      <c r="C194">
        <v>100</v>
      </c>
      <c r="D194">
        <v>2.62</v>
      </c>
      <c r="E194">
        <v>0.09</v>
      </c>
      <c r="F194">
        <v>0.33</v>
      </c>
      <c r="G194" t="s">
        <v>389</v>
      </c>
    </row>
    <row r="195" spans="1:7" x14ac:dyDescent="0.3">
      <c r="A195" t="s">
        <v>112</v>
      </c>
      <c r="B195">
        <v>12</v>
      </c>
      <c r="C195">
        <v>110</v>
      </c>
      <c r="D195">
        <v>1.55</v>
      </c>
      <c r="E195">
        <v>9.2999999999999999E-2</v>
      </c>
      <c r="F195">
        <v>0.21</v>
      </c>
      <c r="G195" t="s">
        <v>390</v>
      </c>
    </row>
    <row r="196" spans="1:7" x14ac:dyDescent="0.3">
      <c r="A196" t="s">
        <v>112</v>
      </c>
      <c r="B196">
        <v>13</v>
      </c>
      <c r="C196">
        <v>120</v>
      </c>
      <c r="D196">
        <v>0.47</v>
      </c>
      <c r="E196">
        <v>9.7000000000000003E-2</v>
      </c>
      <c r="F196">
        <v>7.0000000000000007E-2</v>
      </c>
      <c r="G196" t="s">
        <v>391</v>
      </c>
    </row>
    <row r="197" spans="1:7" x14ac:dyDescent="0.3">
      <c r="A197" t="s">
        <v>112</v>
      </c>
      <c r="B197">
        <v>14</v>
      </c>
      <c r="C197">
        <v>124</v>
      </c>
      <c r="D197">
        <v>0</v>
      </c>
      <c r="E197">
        <v>9.9000000000000005E-2</v>
      </c>
      <c r="F197">
        <v>0</v>
      </c>
      <c r="G197" t="s">
        <v>392</v>
      </c>
    </row>
    <row r="198" spans="1:7" x14ac:dyDescent="0.3">
      <c r="A198" t="s">
        <v>114</v>
      </c>
      <c r="B198">
        <v>0</v>
      </c>
      <c r="C198">
        <v>0</v>
      </c>
      <c r="D198">
        <v>6.86</v>
      </c>
      <c r="E198">
        <v>8.8999999999999996E-2</v>
      </c>
      <c r="F198">
        <v>0</v>
      </c>
      <c r="G198" t="s">
        <v>393</v>
      </c>
    </row>
    <row r="199" spans="1:7" x14ac:dyDescent="0.3">
      <c r="A199" t="s">
        <v>114</v>
      </c>
      <c r="B199">
        <v>1</v>
      </c>
      <c r="C199">
        <v>10</v>
      </c>
      <c r="D199">
        <v>6.85</v>
      </c>
      <c r="E199">
        <v>9.0999999999999998E-2</v>
      </c>
      <c r="F199">
        <v>0.08</v>
      </c>
      <c r="G199" t="s">
        <v>394</v>
      </c>
    </row>
    <row r="200" spans="1:7" x14ac:dyDescent="0.3">
      <c r="A200" t="s">
        <v>114</v>
      </c>
      <c r="B200">
        <v>2</v>
      </c>
      <c r="C200">
        <v>20</v>
      </c>
      <c r="D200">
        <v>6.86</v>
      </c>
      <c r="E200">
        <v>9.2999999999999999E-2</v>
      </c>
      <c r="F200">
        <v>0.16</v>
      </c>
      <c r="G200" t="s">
        <v>395</v>
      </c>
    </row>
    <row r="201" spans="1:7" x14ac:dyDescent="0.3">
      <c r="A201" t="s">
        <v>114</v>
      </c>
      <c r="B201">
        <v>3</v>
      </c>
      <c r="C201">
        <v>30</v>
      </c>
      <c r="D201">
        <v>6.89</v>
      </c>
      <c r="E201">
        <v>9.5000000000000001E-2</v>
      </c>
      <c r="F201">
        <v>0.24</v>
      </c>
      <c r="G201" t="s">
        <v>396</v>
      </c>
    </row>
    <row r="202" spans="1:7" x14ac:dyDescent="0.3">
      <c r="A202" t="s">
        <v>114</v>
      </c>
      <c r="B202">
        <v>4</v>
      </c>
      <c r="C202">
        <v>40</v>
      </c>
      <c r="D202">
        <v>6.9</v>
      </c>
      <c r="E202">
        <v>9.7000000000000003E-2</v>
      </c>
      <c r="F202">
        <v>0.32</v>
      </c>
      <c r="G202" t="s">
        <v>397</v>
      </c>
    </row>
    <row r="203" spans="1:7" x14ac:dyDescent="0.3">
      <c r="A203" t="s">
        <v>114</v>
      </c>
      <c r="B203">
        <v>5</v>
      </c>
      <c r="C203">
        <v>50</v>
      </c>
      <c r="D203">
        <v>6.88</v>
      </c>
      <c r="E203">
        <v>9.9000000000000005E-2</v>
      </c>
      <c r="F203">
        <v>0.4</v>
      </c>
      <c r="G203" t="s">
        <v>398</v>
      </c>
    </row>
    <row r="204" spans="1:7" x14ac:dyDescent="0.3">
      <c r="A204" t="s">
        <v>114</v>
      </c>
      <c r="B204">
        <v>6</v>
      </c>
      <c r="C204">
        <v>60</v>
      </c>
      <c r="D204">
        <v>6.8</v>
      </c>
      <c r="E204">
        <v>0.10100000000000001</v>
      </c>
      <c r="F204">
        <v>0.47</v>
      </c>
      <c r="G204" t="s">
        <v>399</v>
      </c>
    </row>
    <row r="205" spans="1:7" x14ac:dyDescent="0.3">
      <c r="A205" t="s">
        <v>114</v>
      </c>
      <c r="B205">
        <v>7</v>
      </c>
      <c r="C205">
        <v>70</v>
      </c>
      <c r="D205">
        <v>6.66</v>
      </c>
      <c r="E205">
        <v>0.10299999999999999</v>
      </c>
      <c r="F205">
        <v>0.52</v>
      </c>
      <c r="G205" t="s">
        <v>400</v>
      </c>
    </row>
    <row r="206" spans="1:7" x14ac:dyDescent="0.3">
      <c r="A206" t="s">
        <v>114</v>
      </c>
      <c r="B206">
        <v>8</v>
      </c>
      <c r="C206">
        <v>79</v>
      </c>
      <c r="D206">
        <v>6.46</v>
      </c>
      <c r="E206">
        <v>0.105</v>
      </c>
      <c r="F206">
        <v>0.56000000000000005</v>
      </c>
      <c r="G206" t="s">
        <v>401</v>
      </c>
    </row>
    <row r="207" spans="1:7" x14ac:dyDescent="0.3">
      <c r="A207" t="s">
        <v>114</v>
      </c>
      <c r="B207">
        <v>9</v>
      </c>
      <c r="C207">
        <v>90</v>
      </c>
      <c r="D207">
        <v>6.14</v>
      </c>
      <c r="E207">
        <v>0.108</v>
      </c>
      <c r="F207">
        <v>0.57999999999999996</v>
      </c>
      <c r="G207" t="s">
        <v>402</v>
      </c>
    </row>
    <row r="208" spans="1:7" x14ac:dyDescent="0.3">
      <c r="A208" t="s">
        <v>114</v>
      </c>
      <c r="B208">
        <v>10</v>
      </c>
      <c r="C208">
        <v>100</v>
      </c>
      <c r="D208">
        <v>5.75</v>
      </c>
      <c r="E208">
        <v>0.111</v>
      </c>
      <c r="F208">
        <v>0.57999999999999996</v>
      </c>
      <c r="G208" t="s">
        <v>403</v>
      </c>
    </row>
    <row r="209" spans="1:7" x14ac:dyDescent="0.3">
      <c r="A209" t="s">
        <v>114</v>
      </c>
      <c r="B209">
        <v>11</v>
      </c>
      <c r="C209">
        <v>105</v>
      </c>
      <c r="D209">
        <v>5.52</v>
      </c>
      <c r="E209">
        <v>0.113</v>
      </c>
      <c r="F209">
        <v>0.57999999999999996</v>
      </c>
      <c r="G209" t="s">
        <v>404</v>
      </c>
    </row>
    <row r="210" spans="1:7" x14ac:dyDescent="0.3">
      <c r="A210" t="s">
        <v>114</v>
      </c>
      <c r="B210">
        <v>12</v>
      </c>
      <c r="C210">
        <v>110</v>
      </c>
      <c r="D210">
        <v>5.27</v>
      </c>
      <c r="E210">
        <v>0.114</v>
      </c>
      <c r="F210">
        <v>0.56999999999999995</v>
      </c>
      <c r="G210" t="s">
        <v>405</v>
      </c>
    </row>
    <row r="211" spans="1:7" x14ac:dyDescent="0.3">
      <c r="A211" t="s">
        <v>114</v>
      </c>
      <c r="B211">
        <v>13</v>
      </c>
      <c r="C211">
        <v>120</v>
      </c>
      <c r="D211">
        <v>4.7</v>
      </c>
      <c r="E211">
        <v>0.11799999999999999</v>
      </c>
      <c r="F211">
        <v>0.54</v>
      </c>
      <c r="G211" t="s">
        <v>406</v>
      </c>
    </row>
    <row r="212" spans="1:7" x14ac:dyDescent="0.3">
      <c r="A212" t="s">
        <v>114</v>
      </c>
      <c r="B212">
        <v>14</v>
      </c>
      <c r="C212">
        <v>130</v>
      </c>
      <c r="D212">
        <v>4.0599999999999996</v>
      </c>
      <c r="E212">
        <v>0.122</v>
      </c>
      <c r="F212">
        <v>0.48</v>
      </c>
      <c r="G212" t="s">
        <v>407</v>
      </c>
    </row>
    <row r="213" spans="1:7" x14ac:dyDescent="0.3">
      <c r="A213" t="s">
        <v>114</v>
      </c>
      <c r="B213">
        <v>15</v>
      </c>
      <c r="C213">
        <v>140</v>
      </c>
      <c r="D213">
        <v>3.36</v>
      </c>
      <c r="E213">
        <v>0.127</v>
      </c>
      <c r="F213">
        <v>0.42</v>
      </c>
      <c r="G213" t="s">
        <v>408</v>
      </c>
    </row>
    <row r="214" spans="1:7" x14ac:dyDescent="0.3">
      <c r="A214" t="s">
        <v>114</v>
      </c>
      <c r="B214">
        <v>16</v>
      </c>
      <c r="C214">
        <v>150</v>
      </c>
      <c r="D214">
        <v>2.61</v>
      </c>
      <c r="E214">
        <v>0.13200000000000001</v>
      </c>
      <c r="F214">
        <v>0.34</v>
      </c>
      <c r="G214" t="s">
        <v>409</v>
      </c>
    </row>
    <row r="215" spans="1:7" x14ac:dyDescent="0.3">
      <c r="A215" t="s">
        <v>114</v>
      </c>
      <c r="B215">
        <v>17</v>
      </c>
      <c r="C215">
        <v>160</v>
      </c>
      <c r="D215">
        <v>1.83</v>
      </c>
      <c r="E215">
        <v>0.13800000000000001</v>
      </c>
      <c r="F215">
        <v>0.24</v>
      </c>
      <c r="G215" t="s">
        <v>410</v>
      </c>
    </row>
    <row r="216" spans="1:7" x14ac:dyDescent="0.3">
      <c r="A216" t="s">
        <v>114</v>
      </c>
      <c r="B216">
        <v>18</v>
      </c>
      <c r="C216">
        <v>170</v>
      </c>
      <c r="D216">
        <v>1.05</v>
      </c>
      <c r="E216">
        <v>0.14499999999999999</v>
      </c>
      <c r="F216">
        <v>0.14000000000000001</v>
      </c>
      <c r="G216" t="s">
        <v>411</v>
      </c>
    </row>
    <row r="217" spans="1:7" x14ac:dyDescent="0.3">
      <c r="A217" t="s">
        <v>114</v>
      </c>
      <c r="B217">
        <v>19</v>
      </c>
      <c r="C217">
        <v>180</v>
      </c>
      <c r="D217">
        <v>0.3</v>
      </c>
      <c r="E217">
        <v>0.152</v>
      </c>
      <c r="F217">
        <v>0.04</v>
      </c>
      <c r="G217" t="s">
        <v>412</v>
      </c>
    </row>
    <row r="218" spans="1:7" x14ac:dyDescent="0.3">
      <c r="A218" t="s">
        <v>114</v>
      </c>
      <c r="B218">
        <v>20</v>
      </c>
      <c r="C218">
        <v>184</v>
      </c>
      <c r="D218">
        <v>0</v>
      </c>
      <c r="E218">
        <v>0.156</v>
      </c>
      <c r="F218">
        <v>0</v>
      </c>
      <c r="G218" t="s">
        <v>413</v>
      </c>
    </row>
    <row r="219" spans="1:7" x14ac:dyDescent="0.3">
      <c r="A219" t="s">
        <v>116</v>
      </c>
      <c r="B219">
        <v>0</v>
      </c>
      <c r="C219">
        <v>0</v>
      </c>
      <c r="D219">
        <v>6.6</v>
      </c>
      <c r="E219">
        <v>8.6999999999999994E-2</v>
      </c>
      <c r="F219">
        <v>0</v>
      </c>
      <c r="G219" t="s">
        <v>414</v>
      </c>
    </row>
    <row r="220" spans="1:7" x14ac:dyDescent="0.3">
      <c r="A220" t="s">
        <v>116</v>
      </c>
      <c r="B220">
        <v>1</v>
      </c>
      <c r="C220">
        <v>30</v>
      </c>
      <c r="D220">
        <v>6.7</v>
      </c>
      <c r="E220">
        <v>9.2999999999999999E-2</v>
      </c>
      <c r="F220">
        <v>0.24</v>
      </c>
      <c r="G220" t="s">
        <v>415</v>
      </c>
    </row>
    <row r="221" spans="1:7" x14ac:dyDescent="0.3">
      <c r="A221" t="s">
        <v>116</v>
      </c>
      <c r="B221">
        <v>2</v>
      </c>
      <c r="C221">
        <v>60</v>
      </c>
      <c r="D221">
        <v>6.5</v>
      </c>
      <c r="E221">
        <v>9.6000000000000002E-2</v>
      </c>
      <c r="F221">
        <v>0.47</v>
      </c>
      <c r="G221" t="s">
        <v>416</v>
      </c>
    </row>
    <row r="222" spans="1:7" x14ac:dyDescent="0.3">
      <c r="A222" t="s">
        <v>116</v>
      </c>
      <c r="B222">
        <v>3</v>
      </c>
      <c r="C222">
        <v>80</v>
      </c>
      <c r="D222">
        <v>6</v>
      </c>
      <c r="E222">
        <v>9.9000000000000005E-2</v>
      </c>
      <c r="F222">
        <v>0.55000000000000004</v>
      </c>
      <c r="G222" t="s">
        <v>417</v>
      </c>
    </row>
    <row r="223" spans="1:7" x14ac:dyDescent="0.3">
      <c r="A223" t="s">
        <v>116</v>
      </c>
      <c r="B223">
        <v>4</v>
      </c>
      <c r="C223">
        <v>105</v>
      </c>
      <c r="D223">
        <v>4.8</v>
      </c>
      <c r="E223">
        <v>0.107</v>
      </c>
      <c r="F223">
        <v>0.53</v>
      </c>
      <c r="G223" t="s">
        <v>418</v>
      </c>
    </row>
    <row r="224" spans="1:7" x14ac:dyDescent="0.3">
      <c r="A224" t="s">
        <v>116</v>
      </c>
      <c r="B224">
        <v>5</v>
      </c>
      <c r="C224">
        <v>130</v>
      </c>
      <c r="D224">
        <v>3.3</v>
      </c>
      <c r="E224">
        <v>0.11700000000000001</v>
      </c>
      <c r="F224">
        <v>0.41</v>
      </c>
      <c r="G224" t="s">
        <v>419</v>
      </c>
    </row>
    <row r="225" spans="1:7" x14ac:dyDescent="0.3">
      <c r="A225" t="s">
        <v>116</v>
      </c>
      <c r="B225">
        <v>6</v>
      </c>
      <c r="C225">
        <v>175</v>
      </c>
      <c r="D225">
        <v>0</v>
      </c>
      <c r="E225">
        <v>0.14000000000000001</v>
      </c>
      <c r="F225">
        <v>0</v>
      </c>
      <c r="G225" t="s">
        <v>420</v>
      </c>
    </row>
    <row r="226" spans="1:7" x14ac:dyDescent="0.3">
      <c r="A226" t="s">
        <v>118</v>
      </c>
      <c r="B226">
        <v>0</v>
      </c>
      <c r="C226">
        <v>0</v>
      </c>
      <c r="D226">
        <v>8.6</v>
      </c>
      <c r="E226">
        <v>0.113</v>
      </c>
      <c r="F226">
        <v>0</v>
      </c>
      <c r="G226" t="s">
        <v>421</v>
      </c>
    </row>
    <row r="227" spans="1:7" x14ac:dyDescent="0.3">
      <c r="A227" t="s">
        <v>118</v>
      </c>
      <c r="B227">
        <v>1</v>
      </c>
      <c r="C227">
        <v>20</v>
      </c>
      <c r="D227">
        <v>8.69</v>
      </c>
      <c r="E227">
        <v>0.1193</v>
      </c>
      <c r="F227">
        <v>0.16</v>
      </c>
      <c r="G227" t="s">
        <v>422</v>
      </c>
    </row>
    <row r="228" spans="1:7" x14ac:dyDescent="0.3">
      <c r="A228" t="s">
        <v>118</v>
      </c>
      <c r="B228">
        <v>2</v>
      </c>
      <c r="C228">
        <v>40</v>
      </c>
      <c r="D228">
        <v>8.7799999999999994</v>
      </c>
      <c r="E228">
        <v>0.126</v>
      </c>
      <c r="F228">
        <v>0.32</v>
      </c>
      <c r="G228" t="s">
        <v>423</v>
      </c>
    </row>
    <row r="229" spans="1:7" x14ac:dyDescent="0.3">
      <c r="A229" t="s">
        <v>118</v>
      </c>
      <c r="B229">
        <v>3</v>
      </c>
      <c r="C229">
        <v>60</v>
      </c>
      <c r="D229">
        <v>8.57</v>
      </c>
      <c r="E229">
        <v>0.13170000000000001</v>
      </c>
      <c r="F229">
        <v>0.44</v>
      </c>
      <c r="G229" t="s">
        <v>424</v>
      </c>
    </row>
    <row r="230" spans="1:7" x14ac:dyDescent="0.3">
      <c r="A230" t="s">
        <v>118</v>
      </c>
      <c r="B230">
        <v>4</v>
      </c>
      <c r="C230">
        <v>70</v>
      </c>
      <c r="D230">
        <v>8.4</v>
      </c>
      <c r="E230">
        <v>0.13539999999999999</v>
      </c>
      <c r="F230">
        <v>0.5</v>
      </c>
      <c r="G230" t="s">
        <v>425</v>
      </c>
    </row>
    <row r="231" spans="1:7" x14ac:dyDescent="0.3">
      <c r="A231" t="s">
        <v>118</v>
      </c>
      <c r="B231">
        <v>5</v>
      </c>
      <c r="C231">
        <v>81</v>
      </c>
      <c r="D231">
        <v>8.1</v>
      </c>
      <c r="E231">
        <v>0.1394</v>
      </c>
      <c r="F231">
        <v>0.56000000000000005</v>
      </c>
      <c r="G231" t="s">
        <v>426</v>
      </c>
    </row>
    <row r="232" spans="1:7" x14ac:dyDescent="0.3">
      <c r="A232" t="s">
        <v>118</v>
      </c>
      <c r="B232">
        <v>6</v>
      </c>
      <c r="C232">
        <v>100</v>
      </c>
      <c r="D232">
        <v>7.6</v>
      </c>
      <c r="E232">
        <v>0.1469</v>
      </c>
      <c r="F232">
        <v>0.6</v>
      </c>
      <c r="G232" t="s">
        <v>427</v>
      </c>
    </row>
    <row r="233" spans="1:7" x14ac:dyDescent="0.3">
      <c r="A233" t="s">
        <v>118</v>
      </c>
      <c r="B233">
        <v>7</v>
      </c>
      <c r="C233">
        <v>120</v>
      </c>
      <c r="D233">
        <v>6.57</v>
      </c>
      <c r="E233">
        <v>0.158</v>
      </c>
      <c r="F233">
        <v>0.56999999999999995</v>
      </c>
      <c r="G233" t="s">
        <v>428</v>
      </c>
    </row>
    <row r="234" spans="1:7" x14ac:dyDescent="0.3">
      <c r="A234" t="s">
        <v>118</v>
      </c>
      <c r="B234">
        <v>8</v>
      </c>
      <c r="C234">
        <v>140</v>
      </c>
      <c r="D234">
        <v>5.4</v>
      </c>
      <c r="E234">
        <v>0.16700000000000001</v>
      </c>
      <c r="F234">
        <v>0.52</v>
      </c>
      <c r="G234" t="s">
        <v>429</v>
      </c>
    </row>
    <row r="235" spans="1:7" x14ac:dyDescent="0.3">
      <c r="A235" t="s">
        <v>118</v>
      </c>
      <c r="B235">
        <v>9</v>
      </c>
      <c r="C235">
        <v>160</v>
      </c>
      <c r="D235">
        <v>3.5</v>
      </c>
      <c r="E235">
        <v>0.17699999999999999</v>
      </c>
      <c r="F235">
        <v>0.36</v>
      </c>
      <c r="G235" t="s">
        <v>430</v>
      </c>
    </row>
    <row r="236" spans="1:7" x14ac:dyDescent="0.3">
      <c r="A236" t="s">
        <v>118</v>
      </c>
      <c r="B236">
        <v>10</v>
      </c>
      <c r="C236">
        <v>185</v>
      </c>
      <c r="D236">
        <v>0</v>
      </c>
      <c r="E236">
        <v>0.17899999999999999</v>
      </c>
      <c r="F236">
        <v>0</v>
      </c>
      <c r="G236" t="s">
        <v>431</v>
      </c>
    </row>
    <row r="237" spans="1:7" x14ac:dyDescent="0.3">
      <c r="A237" t="s">
        <v>120</v>
      </c>
      <c r="B237">
        <v>0</v>
      </c>
      <c r="C237">
        <v>0</v>
      </c>
      <c r="D237">
        <v>5</v>
      </c>
      <c r="E237">
        <v>5.6000000000000001E-2</v>
      </c>
      <c r="F237">
        <v>0</v>
      </c>
      <c r="G237" t="s">
        <v>432</v>
      </c>
    </row>
    <row r="238" spans="1:7" x14ac:dyDescent="0.3">
      <c r="A238" t="s">
        <v>120</v>
      </c>
      <c r="B238">
        <v>1</v>
      </c>
      <c r="C238">
        <v>30</v>
      </c>
      <c r="D238">
        <v>4.9000000000000004</v>
      </c>
      <c r="E238">
        <v>5.8999999999999997E-2</v>
      </c>
      <c r="F238">
        <v>0.28999999999999998</v>
      </c>
      <c r="G238" t="s">
        <v>433</v>
      </c>
    </row>
    <row r="239" spans="1:7" x14ac:dyDescent="0.3">
      <c r="A239" t="s">
        <v>120</v>
      </c>
      <c r="B239">
        <v>2</v>
      </c>
      <c r="C239">
        <v>70</v>
      </c>
      <c r="D239">
        <v>4.7</v>
      </c>
      <c r="E239">
        <v>7.0999999999999994E-2</v>
      </c>
      <c r="F239">
        <v>0.55000000000000004</v>
      </c>
      <c r="G239" t="s">
        <v>434</v>
      </c>
    </row>
    <row r="240" spans="1:7" x14ac:dyDescent="0.3">
      <c r="A240" t="s">
        <v>120</v>
      </c>
      <c r="B240">
        <v>3</v>
      </c>
      <c r="C240">
        <v>100</v>
      </c>
      <c r="D240">
        <v>4.2</v>
      </c>
      <c r="E240">
        <v>7.6999999999999999E-2</v>
      </c>
      <c r="F240">
        <v>0.65</v>
      </c>
      <c r="G240" t="s">
        <v>435</v>
      </c>
    </row>
    <row r="241" spans="1:7" x14ac:dyDescent="0.3">
      <c r="A241" t="s">
        <v>120</v>
      </c>
      <c r="B241">
        <v>4</v>
      </c>
      <c r="C241">
        <v>140</v>
      </c>
      <c r="D241">
        <v>2.9</v>
      </c>
      <c r="E241">
        <v>0.08</v>
      </c>
      <c r="F241">
        <v>0.61</v>
      </c>
      <c r="G241" t="s">
        <v>436</v>
      </c>
    </row>
    <row r="242" spans="1:7" x14ac:dyDescent="0.3">
      <c r="A242" t="s">
        <v>120</v>
      </c>
      <c r="B242">
        <v>5</v>
      </c>
      <c r="C242">
        <v>180</v>
      </c>
      <c r="D242">
        <v>1.3</v>
      </c>
      <c r="E242">
        <v>7.3999999999999996E-2</v>
      </c>
      <c r="F242">
        <v>0.39</v>
      </c>
      <c r="G242" t="s">
        <v>437</v>
      </c>
    </row>
    <row r="243" spans="1:7" x14ac:dyDescent="0.3">
      <c r="A243" t="s">
        <v>120</v>
      </c>
      <c r="B243">
        <v>6</v>
      </c>
      <c r="C243">
        <v>200</v>
      </c>
      <c r="D243">
        <v>0</v>
      </c>
      <c r="E243">
        <v>0.08</v>
      </c>
      <c r="F243">
        <v>0</v>
      </c>
      <c r="G243" t="s">
        <v>438</v>
      </c>
    </row>
    <row r="244" spans="1:7" x14ac:dyDescent="0.3">
      <c r="A244" t="s">
        <v>122</v>
      </c>
      <c r="B244">
        <v>0</v>
      </c>
      <c r="C244">
        <v>0</v>
      </c>
      <c r="D244">
        <v>8.4700000000000006</v>
      </c>
      <c r="E244">
        <v>0.13700000000000001</v>
      </c>
      <c r="F244">
        <v>0</v>
      </c>
      <c r="G244" t="s">
        <v>439</v>
      </c>
    </row>
    <row r="245" spans="1:7" x14ac:dyDescent="0.3">
      <c r="A245" t="s">
        <v>122</v>
      </c>
      <c r="B245">
        <v>1</v>
      </c>
      <c r="C245">
        <v>20</v>
      </c>
      <c r="D245">
        <v>8.66</v>
      </c>
      <c r="E245">
        <v>0.14199999999999999</v>
      </c>
      <c r="F245">
        <v>0.13</v>
      </c>
      <c r="G245" t="s">
        <v>440</v>
      </c>
    </row>
    <row r="246" spans="1:7" x14ac:dyDescent="0.3">
      <c r="A246" t="s">
        <v>122</v>
      </c>
      <c r="B246">
        <v>2</v>
      </c>
      <c r="C246">
        <v>40</v>
      </c>
      <c r="D246">
        <v>8.67</v>
      </c>
      <c r="E246">
        <v>0.14699999999999999</v>
      </c>
      <c r="F246">
        <v>0.26</v>
      </c>
      <c r="G246" t="s">
        <v>441</v>
      </c>
    </row>
    <row r="247" spans="1:7" x14ac:dyDescent="0.3">
      <c r="A247" t="s">
        <v>122</v>
      </c>
      <c r="B247">
        <v>3</v>
      </c>
      <c r="C247">
        <v>60</v>
      </c>
      <c r="D247">
        <v>8.56</v>
      </c>
      <c r="E247">
        <v>0.153</v>
      </c>
      <c r="F247">
        <v>0.38</v>
      </c>
      <c r="G247" t="s">
        <v>442</v>
      </c>
    </row>
    <row r="248" spans="1:7" x14ac:dyDescent="0.3">
      <c r="A248" t="s">
        <v>122</v>
      </c>
      <c r="B248">
        <v>4</v>
      </c>
      <c r="C248">
        <v>80</v>
      </c>
      <c r="D248">
        <v>8.3699999999999992</v>
      </c>
      <c r="E248">
        <v>0.16</v>
      </c>
      <c r="F248">
        <v>0.48</v>
      </c>
      <c r="G248" t="s">
        <v>443</v>
      </c>
    </row>
    <row r="249" spans="1:7" x14ac:dyDescent="0.3">
      <c r="A249" t="s">
        <v>122</v>
      </c>
      <c r="B249">
        <v>5</v>
      </c>
      <c r="C249">
        <v>95</v>
      </c>
      <c r="D249">
        <v>8.1999999999999993</v>
      </c>
      <c r="E249">
        <v>0.16600000000000001</v>
      </c>
      <c r="F249">
        <v>0.54</v>
      </c>
      <c r="G249" t="s">
        <v>444</v>
      </c>
    </row>
    <row r="250" spans="1:7" x14ac:dyDescent="0.3">
      <c r="A250" t="s">
        <v>122</v>
      </c>
      <c r="B250">
        <v>6</v>
      </c>
      <c r="C250">
        <v>120</v>
      </c>
      <c r="D250">
        <v>7.72</v>
      </c>
      <c r="E250">
        <v>0.17699999999999999</v>
      </c>
      <c r="F250">
        <v>0.60499999999999998</v>
      </c>
      <c r="G250" t="s">
        <v>445</v>
      </c>
    </row>
    <row r="251" spans="1:7" x14ac:dyDescent="0.3">
      <c r="A251" t="s">
        <v>122</v>
      </c>
      <c r="B251">
        <v>7</v>
      </c>
      <c r="C251">
        <v>124</v>
      </c>
      <c r="D251">
        <v>7.6</v>
      </c>
      <c r="E251">
        <v>0.17899999999999999</v>
      </c>
      <c r="F251">
        <v>0.61</v>
      </c>
      <c r="G251" t="s">
        <v>446</v>
      </c>
    </row>
    <row r="252" spans="1:7" x14ac:dyDescent="0.3">
      <c r="A252" t="s">
        <v>122</v>
      </c>
      <c r="B252">
        <v>8</v>
      </c>
      <c r="C252">
        <v>140</v>
      </c>
      <c r="D252">
        <v>7.19</v>
      </c>
      <c r="E252">
        <v>0.187</v>
      </c>
      <c r="F252">
        <v>0.61</v>
      </c>
      <c r="G252" t="s">
        <v>447</v>
      </c>
    </row>
    <row r="253" spans="1:7" x14ac:dyDescent="0.3">
      <c r="A253" t="s">
        <v>122</v>
      </c>
      <c r="B253">
        <v>9</v>
      </c>
      <c r="C253">
        <v>160</v>
      </c>
      <c r="D253">
        <v>6.5</v>
      </c>
      <c r="E253">
        <v>0.19900000000000001</v>
      </c>
      <c r="F253">
        <v>0.59</v>
      </c>
      <c r="G253" t="s">
        <v>448</v>
      </c>
    </row>
    <row r="254" spans="1:7" x14ac:dyDescent="0.3">
      <c r="A254" t="s">
        <v>122</v>
      </c>
      <c r="B254">
        <v>10</v>
      </c>
      <c r="C254">
        <v>180</v>
      </c>
      <c r="D254">
        <v>5.55</v>
      </c>
      <c r="E254">
        <v>0.21199999999999999</v>
      </c>
      <c r="F254">
        <v>0.53</v>
      </c>
      <c r="G254" t="s">
        <v>449</v>
      </c>
    </row>
    <row r="255" spans="1:7" x14ac:dyDescent="0.3">
      <c r="A255" t="s">
        <v>122</v>
      </c>
      <c r="B255">
        <v>11</v>
      </c>
      <c r="C255">
        <v>200</v>
      </c>
      <c r="D255">
        <v>4.4000000000000004</v>
      </c>
      <c r="E255">
        <v>0.22700000000000001</v>
      </c>
      <c r="F255">
        <v>0.44</v>
      </c>
      <c r="G255" t="s">
        <v>450</v>
      </c>
    </row>
    <row r="256" spans="1:7" x14ac:dyDescent="0.3">
      <c r="A256" t="s">
        <v>122</v>
      </c>
      <c r="B256">
        <v>12</v>
      </c>
      <c r="C256">
        <v>220</v>
      </c>
      <c r="D256">
        <v>3.07</v>
      </c>
      <c r="E256">
        <v>0.24299999999999999</v>
      </c>
      <c r="F256">
        <v>0.31</v>
      </c>
      <c r="G256" t="s">
        <v>451</v>
      </c>
    </row>
    <row r="257" spans="1:7" x14ac:dyDescent="0.3">
      <c r="A257" t="s">
        <v>122</v>
      </c>
      <c r="B257">
        <v>13</v>
      </c>
      <c r="C257">
        <v>240</v>
      </c>
      <c r="D257">
        <v>1.6</v>
      </c>
      <c r="E257">
        <v>0.26100000000000001</v>
      </c>
      <c r="F257">
        <v>0.17</v>
      </c>
      <c r="G257" t="s">
        <v>452</v>
      </c>
    </row>
    <row r="258" spans="1:7" x14ac:dyDescent="0.3">
      <c r="A258" t="s">
        <v>122</v>
      </c>
      <c r="B258">
        <v>14</v>
      </c>
      <c r="C258">
        <v>261</v>
      </c>
      <c r="D258">
        <v>0</v>
      </c>
      <c r="E258">
        <v>0.28199999999999997</v>
      </c>
      <c r="F258">
        <v>0</v>
      </c>
      <c r="G258" t="s">
        <v>453</v>
      </c>
    </row>
    <row r="259" spans="1:7" x14ac:dyDescent="0.3">
      <c r="A259" t="s">
        <v>124</v>
      </c>
      <c r="B259">
        <v>0</v>
      </c>
      <c r="C259">
        <v>0</v>
      </c>
      <c r="D259">
        <v>7.6</v>
      </c>
      <c r="E259">
        <v>0.13600000000000001</v>
      </c>
      <c r="F259">
        <v>0</v>
      </c>
      <c r="G259" t="s">
        <v>454</v>
      </c>
    </row>
    <row r="260" spans="1:7" x14ac:dyDescent="0.3">
      <c r="A260" t="s">
        <v>124</v>
      </c>
      <c r="B260">
        <v>1</v>
      </c>
      <c r="C260">
        <v>40</v>
      </c>
      <c r="D260">
        <v>7.55</v>
      </c>
      <c r="E260">
        <v>0.16</v>
      </c>
      <c r="F260">
        <v>0.19589999999999999</v>
      </c>
      <c r="G260" t="s">
        <v>455</v>
      </c>
    </row>
    <row r="261" spans="1:7" x14ac:dyDescent="0.3">
      <c r="A261" t="s">
        <v>124</v>
      </c>
      <c r="B261">
        <v>2</v>
      </c>
      <c r="C261">
        <v>80</v>
      </c>
      <c r="D261">
        <v>7.71</v>
      </c>
      <c r="E261">
        <v>0.185</v>
      </c>
      <c r="F261">
        <v>0.37</v>
      </c>
      <c r="G261" t="s">
        <v>456</v>
      </c>
    </row>
    <row r="262" spans="1:7" x14ac:dyDescent="0.3">
      <c r="A262" t="s">
        <v>124</v>
      </c>
      <c r="B262">
        <v>3</v>
      </c>
      <c r="C262">
        <v>110</v>
      </c>
      <c r="D262">
        <v>7.75</v>
      </c>
      <c r="E262">
        <v>0.20300000000000001</v>
      </c>
      <c r="F262">
        <v>0.47639999999999999</v>
      </c>
      <c r="G262" t="s">
        <v>457</v>
      </c>
    </row>
    <row r="263" spans="1:7" x14ac:dyDescent="0.3">
      <c r="A263" t="s">
        <v>124</v>
      </c>
      <c r="B263">
        <v>4</v>
      </c>
      <c r="C263">
        <v>130</v>
      </c>
      <c r="D263">
        <v>7.7</v>
      </c>
      <c r="E263">
        <v>0.216</v>
      </c>
      <c r="F263">
        <v>0.53249999999999997</v>
      </c>
      <c r="G263" t="s">
        <v>458</v>
      </c>
    </row>
    <row r="264" spans="1:7" x14ac:dyDescent="0.3">
      <c r="A264" t="s">
        <v>124</v>
      </c>
      <c r="B264">
        <v>5</v>
      </c>
      <c r="C264">
        <v>145</v>
      </c>
      <c r="D264">
        <v>7.5</v>
      </c>
      <c r="E264">
        <v>0.22500000000000001</v>
      </c>
      <c r="F264">
        <v>0.55359999999999998</v>
      </c>
      <c r="G264" t="s">
        <v>459</v>
      </c>
    </row>
    <row r="265" spans="1:7" x14ac:dyDescent="0.3">
      <c r="A265" t="s">
        <v>124</v>
      </c>
      <c r="B265">
        <v>6</v>
      </c>
      <c r="C265">
        <v>159</v>
      </c>
      <c r="D265">
        <v>7.3</v>
      </c>
      <c r="E265">
        <v>0.23400000000000001</v>
      </c>
      <c r="F265">
        <v>0.56179999999999997</v>
      </c>
      <c r="G265" t="s">
        <v>460</v>
      </c>
    </row>
    <row r="266" spans="1:7" x14ac:dyDescent="0.3">
      <c r="A266" t="s">
        <v>124</v>
      </c>
      <c r="B266">
        <v>7</v>
      </c>
      <c r="C266">
        <v>190</v>
      </c>
      <c r="D266">
        <v>6.5</v>
      </c>
      <c r="E266">
        <v>0.253</v>
      </c>
      <c r="F266">
        <v>0.55000000000000004</v>
      </c>
      <c r="G266" t="s">
        <v>461</v>
      </c>
    </row>
    <row r="267" spans="1:7" x14ac:dyDescent="0.3">
      <c r="A267" t="s">
        <v>124</v>
      </c>
      <c r="B267">
        <v>8</v>
      </c>
      <c r="C267">
        <v>205</v>
      </c>
      <c r="D267">
        <v>6.1</v>
      </c>
      <c r="E267">
        <v>0.26200000000000001</v>
      </c>
      <c r="F267">
        <v>0.54</v>
      </c>
      <c r="G267" t="s">
        <v>462</v>
      </c>
    </row>
    <row r="268" spans="1:7" x14ac:dyDescent="0.3">
      <c r="A268" t="s">
        <v>124</v>
      </c>
      <c r="B268">
        <v>9</v>
      </c>
      <c r="C268">
        <v>240</v>
      </c>
      <c r="D268">
        <v>5.01</v>
      </c>
      <c r="E268">
        <v>0.28399999999999997</v>
      </c>
      <c r="F268">
        <v>0.48</v>
      </c>
      <c r="G268" t="s">
        <v>463</v>
      </c>
    </row>
    <row r="269" spans="1:7" x14ac:dyDescent="0.3">
      <c r="A269" t="s">
        <v>124</v>
      </c>
      <c r="B269">
        <v>10</v>
      </c>
      <c r="C269">
        <v>260</v>
      </c>
      <c r="D269">
        <v>4.4000000000000004</v>
      </c>
      <c r="E269">
        <v>0.29599999999999999</v>
      </c>
      <c r="F269">
        <v>0.44</v>
      </c>
      <c r="G269" t="s">
        <v>464</v>
      </c>
    </row>
    <row r="270" spans="1:7" x14ac:dyDescent="0.3">
      <c r="A270" t="s">
        <v>124</v>
      </c>
      <c r="B270">
        <v>11</v>
      </c>
      <c r="C270">
        <v>280</v>
      </c>
      <c r="D270">
        <v>3.74</v>
      </c>
      <c r="E270">
        <v>0.308</v>
      </c>
      <c r="F270">
        <v>0.39</v>
      </c>
      <c r="G270" t="s">
        <v>465</v>
      </c>
    </row>
    <row r="271" spans="1:7" x14ac:dyDescent="0.3">
      <c r="A271" t="s">
        <v>124</v>
      </c>
      <c r="B271">
        <v>12</v>
      </c>
      <c r="C271">
        <v>300</v>
      </c>
      <c r="D271">
        <v>2.97</v>
      </c>
      <c r="E271">
        <v>0.32</v>
      </c>
      <c r="F271">
        <v>0.31</v>
      </c>
      <c r="G271" t="s">
        <v>466</v>
      </c>
    </row>
    <row r="272" spans="1:7" x14ac:dyDescent="0.3">
      <c r="A272" t="s">
        <v>124</v>
      </c>
      <c r="B272">
        <v>13</v>
      </c>
      <c r="C272">
        <v>320</v>
      </c>
      <c r="D272">
        <v>2.04</v>
      </c>
      <c r="E272">
        <v>0.33100000000000002</v>
      </c>
      <c r="F272">
        <v>0.22</v>
      </c>
      <c r="G272" t="s">
        <v>467</v>
      </c>
    </row>
    <row r="273" spans="1:7" x14ac:dyDescent="0.3">
      <c r="A273" t="s">
        <v>124</v>
      </c>
      <c r="B273">
        <v>14</v>
      </c>
      <c r="C273">
        <v>355</v>
      </c>
      <c r="D273">
        <v>0</v>
      </c>
      <c r="E273">
        <v>0.35099999999999998</v>
      </c>
      <c r="F273">
        <v>0</v>
      </c>
      <c r="G273" t="s">
        <v>468</v>
      </c>
    </row>
    <row r="274" spans="1:7" x14ac:dyDescent="0.3">
      <c r="A274" t="s">
        <v>126</v>
      </c>
      <c r="B274">
        <v>0</v>
      </c>
      <c r="C274">
        <v>0</v>
      </c>
      <c r="D274">
        <v>7.64</v>
      </c>
      <c r="E274">
        <v>0.154</v>
      </c>
      <c r="F274">
        <v>0</v>
      </c>
      <c r="G274" t="s">
        <v>469</v>
      </c>
    </row>
    <row r="275" spans="1:7" x14ac:dyDescent="0.3">
      <c r="A275" t="s">
        <v>126</v>
      </c>
      <c r="B275">
        <v>1</v>
      </c>
      <c r="C275">
        <v>30</v>
      </c>
      <c r="D275">
        <v>7.53</v>
      </c>
      <c r="E275">
        <v>0.16800000000000001</v>
      </c>
      <c r="F275">
        <v>0.15</v>
      </c>
      <c r="G275" t="s">
        <v>470</v>
      </c>
    </row>
    <row r="276" spans="1:7" x14ac:dyDescent="0.3">
      <c r="A276" t="s">
        <v>126</v>
      </c>
      <c r="B276">
        <v>2</v>
      </c>
      <c r="C276">
        <v>60</v>
      </c>
      <c r="D276">
        <v>7.6</v>
      </c>
      <c r="E276">
        <v>0.187</v>
      </c>
      <c r="F276">
        <v>0.28000000000000003</v>
      </c>
      <c r="G276" t="s">
        <v>471</v>
      </c>
    </row>
    <row r="277" spans="1:7" x14ac:dyDescent="0.3">
      <c r="A277" t="s">
        <v>126</v>
      </c>
      <c r="B277">
        <v>3</v>
      </c>
      <c r="C277">
        <v>90</v>
      </c>
      <c r="D277">
        <v>7.8</v>
      </c>
      <c r="E277">
        <v>0.20799999999999999</v>
      </c>
      <c r="F277">
        <v>0.38</v>
      </c>
      <c r="G277" t="s">
        <v>472</v>
      </c>
    </row>
    <row r="278" spans="1:7" x14ac:dyDescent="0.3">
      <c r="A278" t="s">
        <v>126</v>
      </c>
      <c r="B278">
        <v>4</v>
      </c>
      <c r="C278">
        <v>120</v>
      </c>
      <c r="D278">
        <v>7.81</v>
      </c>
      <c r="E278">
        <v>0.23200000000000001</v>
      </c>
      <c r="F278">
        <v>0.46</v>
      </c>
      <c r="G278" t="s">
        <v>473</v>
      </c>
    </row>
    <row r="279" spans="1:7" x14ac:dyDescent="0.3">
      <c r="A279" t="s">
        <v>126</v>
      </c>
      <c r="B279">
        <v>5</v>
      </c>
      <c r="C279">
        <v>150</v>
      </c>
      <c r="D279">
        <v>7.7</v>
      </c>
      <c r="E279">
        <v>0.25600000000000001</v>
      </c>
      <c r="F279">
        <v>0.51</v>
      </c>
      <c r="G279" t="s">
        <v>474</v>
      </c>
    </row>
    <row r="280" spans="1:7" x14ac:dyDescent="0.3">
      <c r="A280" t="s">
        <v>126</v>
      </c>
      <c r="B280">
        <v>6</v>
      </c>
      <c r="C280">
        <v>180</v>
      </c>
      <c r="D280">
        <v>7.29</v>
      </c>
      <c r="E280">
        <v>0.28000000000000003</v>
      </c>
      <c r="F280">
        <v>0.53</v>
      </c>
      <c r="G280" t="s">
        <v>475</v>
      </c>
    </row>
    <row r="281" spans="1:7" x14ac:dyDescent="0.3">
      <c r="A281" t="s">
        <v>126</v>
      </c>
      <c r="B281">
        <v>7</v>
      </c>
      <c r="C281">
        <v>199</v>
      </c>
      <c r="D281">
        <v>7</v>
      </c>
      <c r="E281">
        <v>0.29499999999999998</v>
      </c>
      <c r="F281">
        <v>0.53</v>
      </c>
      <c r="G281" t="s">
        <v>476</v>
      </c>
    </row>
    <row r="282" spans="1:7" x14ac:dyDescent="0.3">
      <c r="A282" t="s">
        <v>126</v>
      </c>
      <c r="B282">
        <v>8</v>
      </c>
      <c r="C282">
        <v>230</v>
      </c>
      <c r="D282">
        <v>6.28</v>
      </c>
      <c r="E282">
        <v>0.31900000000000001</v>
      </c>
      <c r="F282">
        <v>0.51</v>
      </c>
      <c r="G282" t="s">
        <v>477</v>
      </c>
    </row>
    <row r="283" spans="1:7" x14ac:dyDescent="0.3">
      <c r="A283" t="s">
        <v>126</v>
      </c>
      <c r="B283">
        <v>9</v>
      </c>
      <c r="C283">
        <v>255</v>
      </c>
      <c r="D283">
        <v>5.61</v>
      </c>
      <c r="E283">
        <v>0.33700000000000002</v>
      </c>
      <c r="F283">
        <v>0.48</v>
      </c>
      <c r="G283" t="s">
        <v>478</v>
      </c>
    </row>
    <row r="284" spans="1:7" x14ac:dyDescent="0.3">
      <c r="A284" t="s">
        <v>126</v>
      </c>
      <c r="B284">
        <v>10</v>
      </c>
      <c r="C284">
        <v>300</v>
      </c>
      <c r="D284">
        <v>4.0999999999999996</v>
      </c>
      <c r="E284">
        <v>0.36799999999999999</v>
      </c>
      <c r="F284">
        <v>0.37</v>
      </c>
      <c r="G284" t="s">
        <v>479</v>
      </c>
    </row>
    <row r="285" spans="1:7" x14ac:dyDescent="0.3">
      <c r="A285" t="s">
        <v>126</v>
      </c>
      <c r="B285">
        <v>11</v>
      </c>
      <c r="C285">
        <v>320</v>
      </c>
      <c r="D285">
        <v>3.2</v>
      </c>
      <c r="E285">
        <v>0.38100000000000001</v>
      </c>
      <c r="F285">
        <v>0.31</v>
      </c>
      <c r="G285" t="s">
        <v>480</v>
      </c>
    </row>
    <row r="286" spans="1:7" x14ac:dyDescent="0.3">
      <c r="A286" t="s">
        <v>126</v>
      </c>
      <c r="B286">
        <v>12</v>
      </c>
      <c r="C286">
        <v>350</v>
      </c>
      <c r="D286">
        <v>1.72</v>
      </c>
      <c r="E286">
        <v>0.39900000000000002</v>
      </c>
      <c r="F286">
        <v>0.17</v>
      </c>
      <c r="G286" t="s">
        <v>481</v>
      </c>
    </row>
    <row r="287" spans="1:7" x14ac:dyDescent="0.3">
      <c r="A287" t="s">
        <v>126</v>
      </c>
      <c r="B287">
        <v>13</v>
      </c>
      <c r="C287">
        <v>380</v>
      </c>
      <c r="D287">
        <v>0</v>
      </c>
      <c r="E287">
        <v>0.41699999999999998</v>
      </c>
      <c r="F287">
        <v>0</v>
      </c>
      <c r="G287" t="s">
        <v>482</v>
      </c>
    </row>
    <row r="288" spans="1:7" x14ac:dyDescent="0.3">
      <c r="A288" t="s">
        <v>128</v>
      </c>
      <c r="B288">
        <v>0</v>
      </c>
      <c r="C288">
        <v>0</v>
      </c>
      <c r="D288">
        <v>6.8</v>
      </c>
      <c r="E288">
        <v>0.13600000000000001</v>
      </c>
      <c r="F288">
        <v>0</v>
      </c>
      <c r="G288" t="s">
        <v>483</v>
      </c>
    </row>
    <row r="289" spans="1:7" x14ac:dyDescent="0.3">
      <c r="A289" t="s">
        <v>128</v>
      </c>
      <c r="B289">
        <v>1</v>
      </c>
      <c r="C289">
        <v>40</v>
      </c>
      <c r="D289">
        <v>6.6</v>
      </c>
      <c r="E289">
        <v>0.16</v>
      </c>
      <c r="F289">
        <v>0.17699999999999999</v>
      </c>
      <c r="G289" t="s">
        <v>484</v>
      </c>
    </row>
    <row r="290" spans="1:7" x14ac:dyDescent="0.3">
      <c r="A290" t="s">
        <v>128</v>
      </c>
      <c r="B290">
        <v>2</v>
      </c>
      <c r="C290">
        <v>80</v>
      </c>
      <c r="D290">
        <v>6.4</v>
      </c>
      <c r="E290">
        <v>0.2</v>
      </c>
      <c r="F290">
        <v>0.28999999999999998</v>
      </c>
      <c r="G290" t="s">
        <v>485</v>
      </c>
    </row>
    <row r="291" spans="1:7" x14ac:dyDescent="0.3">
      <c r="A291" t="s">
        <v>128</v>
      </c>
      <c r="B291">
        <v>3</v>
      </c>
      <c r="C291">
        <v>120</v>
      </c>
      <c r="D291">
        <v>6.5</v>
      </c>
      <c r="E291">
        <v>0.24</v>
      </c>
      <c r="F291">
        <v>0.372</v>
      </c>
      <c r="G291" t="s">
        <v>486</v>
      </c>
    </row>
    <row r="292" spans="1:7" x14ac:dyDescent="0.3">
      <c r="A292" t="s">
        <v>128</v>
      </c>
      <c r="B292">
        <v>4</v>
      </c>
      <c r="C292">
        <v>160</v>
      </c>
      <c r="D292">
        <v>6.7</v>
      </c>
      <c r="E292">
        <v>0.28000000000000003</v>
      </c>
      <c r="F292">
        <v>0.437</v>
      </c>
      <c r="G292" t="s">
        <v>487</v>
      </c>
    </row>
    <row r="293" spans="1:7" x14ac:dyDescent="0.3">
      <c r="A293" t="s">
        <v>128</v>
      </c>
      <c r="B293">
        <v>5</v>
      </c>
      <c r="C293">
        <v>190</v>
      </c>
      <c r="D293">
        <v>6.7</v>
      </c>
      <c r="E293">
        <v>0.311</v>
      </c>
      <c r="F293">
        <v>0.47</v>
      </c>
      <c r="G293" t="s">
        <v>488</v>
      </c>
    </row>
    <row r="294" spans="1:7" x14ac:dyDescent="0.3">
      <c r="A294" t="s">
        <v>128</v>
      </c>
      <c r="B294">
        <v>6</v>
      </c>
      <c r="C294">
        <v>240</v>
      </c>
      <c r="D294">
        <v>6.2</v>
      </c>
      <c r="E294">
        <v>0.35899999999999999</v>
      </c>
      <c r="F294">
        <v>0.48</v>
      </c>
      <c r="G294" t="s">
        <v>489</v>
      </c>
    </row>
    <row r="295" spans="1:7" x14ac:dyDescent="0.3">
      <c r="A295" t="s">
        <v>128</v>
      </c>
      <c r="B295">
        <v>7</v>
      </c>
      <c r="C295">
        <v>280</v>
      </c>
      <c r="D295">
        <v>5.3</v>
      </c>
      <c r="E295">
        <v>0.39200000000000002</v>
      </c>
      <c r="F295">
        <v>0.43</v>
      </c>
      <c r="G295" t="s">
        <v>490</v>
      </c>
    </row>
    <row r="296" spans="1:7" x14ac:dyDescent="0.3">
      <c r="A296" t="s">
        <v>128</v>
      </c>
      <c r="B296">
        <v>8</v>
      </c>
      <c r="C296">
        <v>320</v>
      </c>
      <c r="D296">
        <v>3.83</v>
      </c>
      <c r="E296">
        <v>0.42</v>
      </c>
      <c r="F296">
        <v>0.34</v>
      </c>
      <c r="G296" t="s">
        <v>491</v>
      </c>
    </row>
    <row r="297" spans="1:7" x14ac:dyDescent="0.3">
      <c r="A297" t="s">
        <v>128</v>
      </c>
      <c r="B297">
        <v>9</v>
      </c>
      <c r="C297">
        <v>360</v>
      </c>
      <c r="D297">
        <v>2.2000000000000002</v>
      </c>
      <c r="E297">
        <v>0.44</v>
      </c>
      <c r="F297">
        <v>0.2</v>
      </c>
      <c r="G297" t="s">
        <v>492</v>
      </c>
    </row>
    <row r="298" spans="1:7" x14ac:dyDescent="0.3">
      <c r="A298" t="s">
        <v>128</v>
      </c>
      <c r="B298">
        <v>10</v>
      </c>
      <c r="C298">
        <v>400</v>
      </c>
      <c r="D298">
        <v>0.5</v>
      </c>
      <c r="E298">
        <v>0.442</v>
      </c>
      <c r="F298">
        <v>0.03</v>
      </c>
      <c r="G298" t="s">
        <v>493</v>
      </c>
    </row>
    <row r="299" spans="1:7" x14ac:dyDescent="0.3">
      <c r="A299" t="s">
        <v>128</v>
      </c>
      <c r="B299">
        <v>11</v>
      </c>
      <c r="C299">
        <v>410</v>
      </c>
      <c r="D299">
        <v>0</v>
      </c>
      <c r="E299">
        <v>0.442</v>
      </c>
      <c r="F299">
        <v>0</v>
      </c>
      <c r="G299" t="s">
        <v>494</v>
      </c>
    </row>
    <row r="300" spans="1:7" x14ac:dyDescent="0.3">
      <c r="A300" t="s">
        <v>130</v>
      </c>
      <c r="B300">
        <v>0</v>
      </c>
      <c r="C300">
        <v>0</v>
      </c>
      <c r="D300">
        <v>8.8000000000000007</v>
      </c>
      <c r="E300">
        <v>5.7000000000000002E-2</v>
      </c>
      <c r="F300">
        <v>0</v>
      </c>
      <c r="G300" t="s">
        <v>495</v>
      </c>
    </row>
    <row r="301" spans="1:7" x14ac:dyDescent="0.3">
      <c r="A301" t="s">
        <v>130</v>
      </c>
      <c r="B301">
        <v>1</v>
      </c>
      <c r="C301">
        <v>10</v>
      </c>
      <c r="D301">
        <v>8.6999999999999993</v>
      </c>
      <c r="E301">
        <v>5.8999999999999997E-2</v>
      </c>
      <c r="F301">
        <v>0.17</v>
      </c>
      <c r="G301" t="s">
        <v>496</v>
      </c>
    </row>
    <row r="302" spans="1:7" x14ac:dyDescent="0.3">
      <c r="A302" t="s">
        <v>130</v>
      </c>
      <c r="B302">
        <v>2</v>
      </c>
      <c r="C302">
        <v>18</v>
      </c>
      <c r="D302">
        <v>8.1999999999999993</v>
      </c>
      <c r="E302">
        <v>6.2E-2</v>
      </c>
      <c r="F302">
        <v>0.27</v>
      </c>
      <c r="G302" t="s">
        <v>497</v>
      </c>
    </row>
    <row r="303" spans="1:7" x14ac:dyDescent="0.3">
      <c r="A303" t="s">
        <v>130</v>
      </c>
      <c r="B303">
        <v>3</v>
      </c>
      <c r="C303">
        <v>25</v>
      </c>
      <c r="D303">
        <v>7.5</v>
      </c>
      <c r="E303">
        <v>6.4000000000000001E-2</v>
      </c>
      <c r="F303">
        <v>0.33</v>
      </c>
      <c r="G303" t="s">
        <v>498</v>
      </c>
    </row>
    <row r="304" spans="1:7" x14ac:dyDescent="0.3">
      <c r="A304" t="s">
        <v>130</v>
      </c>
      <c r="B304">
        <v>4</v>
      </c>
      <c r="C304">
        <v>35</v>
      </c>
      <c r="D304">
        <v>6.1</v>
      </c>
      <c r="E304">
        <v>6.8000000000000005E-2</v>
      </c>
      <c r="F304">
        <v>0.35</v>
      </c>
      <c r="G304" t="s">
        <v>499</v>
      </c>
    </row>
    <row r="305" spans="1:7" x14ac:dyDescent="0.3">
      <c r="A305" t="s">
        <v>130</v>
      </c>
      <c r="B305">
        <v>5</v>
      </c>
      <c r="C305">
        <v>45</v>
      </c>
      <c r="D305">
        <v>4.0999999999999996</v>
      </c>
      <c r="E305">
        <v>7.2999999999999995E-2</v>
      </c>
      <c r="F305">
        <v>0.28000000000000003</v>
      </c>
      <c r="G305" t="s">
        <v>500</v>
      </c>
    </row>
    <row r="306" spans="1:7" x14ac:dyDescent="0.3">
      <c r="A306" t="s">
        <v>130</v>
      </c>
      <c r="B306">
        <v>6</v>
      </c>
      <c r="C306">
        <v>58</v>
      </c>
      <c r="D306">
        <v>0</v>
      </c>
      <c r="E306">
        <v>0.08</v>
      </c>
      <c r="F306">
        <v>0</v>
      </c>
      <c r="G306" t="s">
        <v>501</v>
      </c>
    </row>
    <row r="307" spans="1:7" x14ac:dyDescent="0.3">
      <c r="A307" t="s">
        <v>132</v>
      </c>
      <c r="B307">
        <v>0</v>
      </c>
      <c r="C307">
        <v>0</v>
      </c>
      <c r="D307">
        <v>6.75</v>
      </c>
      <c r="E307">
        <v>0.19900000000000001</v>
      </c>
      <c r="F307">
        <v>0.01</v>
      </c>
      <c r="G307" t="s">
        <v>502</v>
      </c>
    </row>
    <row r="308" spans="1:7" x14ac:dyDescent="0.3">
      <c r="A308" t="s">
        <v>132</v>
      </c>
      <c r="B308">
        <v>1</v>
      </c>
      <c r="C308">
        <v>40</v>
      </c>
      <c r="D308">
        <v>6.4</v>
      </c>
      <c r="E308">
        <v>0.22900000000000001</v>
      </c>
      <c r="F308">
        <v>0.11</v>
      </c>
      <c r="G308" t="s">
        <v>503</v>
      </c>
    </row>
    <row r="309" spans="1:7" x14ac:dyDescent="0.3">
      <c r="A309" t="s">
        <v>132</v>
      </c>
      <c r="B309">
        <v>2</v>
      </c>
      <c r="C309">
        <v>80</v>
      </c>
      <c r="D309">
        <v>6.32</v>
      </c>
      <c r="E309">
        <v>0.26</v>
      </c>
      <c r="F309">
        <v>0.21</v>
      </c>
      <c r="G309" t="s">
        <v>504</v>
      </c>
    </row>
    <row r="310" spans="1:7" x14ac:dyDescent="0.3">
      <c r="A310" t="s">
        <v>132</v>
      </c>
      <c r="B310">
        <v>3</v>
      </c>
      <c r="C310">
        <v>120</v>
      </c>
      <c r="D310">
        <v>6.37</v>
      </c>
      <c r="E310">
        <v>0.28999999999999998</v>
      </c>
      <c r="F310">
        <v>0.3</v>
      </c>
      <c r="G310" t="s">
        <v>505</v>
      </c>
    </row>
    <row r="311" spans="1:7" x14ac:dyDescent="0.3">
      <c r="A311" t="s">
        <v>132</v>
      </c>
      <c r="B311">
        <v>4</v>
      </c>
      <c r="C311">
        <v>160</v>
      </c>
      <c r="D311">
        <v>6.42</v>
      </c>
      <c r="E311">
        <v>0.32100000000000001</v>
      </c>
      <c r="F311">
        <v>0.37</v>
      </c>
      <c r="G311" t="s">
        <v>506</v>
      </c>
    </row>
    <row r="312" spans="1:7" x14ac:dyDescent="0.3">
      <c r="A312" t="s">
        <v>132</v>
      </c>
      <c r="B312">
        <v>5</v>
      </c>
      <c r="C312">
        <v>200</v>
      </c>
      <c r="D312">
        <v>6.35</v>
      </c>
      <c r="E312">
        <v>0.35099999999999998</v>
      </c>
      <c r="F312">
        <v>0.41909999999999997</v>
      </c>
      <c r="G312" t="s">
        <v>507</v>
      </c>
    </row>
    <row r="313" spans="1:7" x14ac:dyDescent="0.3">
      <c r="A313" t="s">
        <v>132</v>
      </c>
      <c r="B313">
        <v>6</v>
      </c>
      <c r="C313">
        <v>220</v>
      </c>
      <c r="D313">
        <v>6.25</v>
      </c>
      <c r="E313">
        <v>0.36599999999999999</v>
      </c>
      <c r="F313">
        <v>0.435</v>
      </c>
      <c r="G313" t="s">
        <v>508</v>
      </c>
    </row>
    <row r="314" spans="1:7" x14ac:dyDescent="0.3">
      <c r="A314" t="s">
        <v>132</v>
      </c>
      <c r="B314">
        <v>7</v>
      </c>
      <c r="C314">
        <v>240</v>
      </c>
      <c r="D314">
        <v>6.1</v>
      </c>
      <c r="E314">
        <v>0.38</v>
      </c>
      <c r="F314">
        <v>0.4425</v>
      </c>
      <c r="G314" t="s">
        <v>509</v>
      </c>
    </row>
    <row r="315" spans="1:7" x14ac:dyDescent="0.3">
      <c r="A315" t="s">
        <v>132</v>
      </c>
      <c r="B315">
        <v>8</v>
      </c>
      <c r="C315">
        <v>280</v>
      </c>
      <c r="D315">
        <v>5.63</v>
      </c>
      <c r="E315">
        <v>0.40799999999999997</v>
      </c>
      <c r="F315">
        <v>0.44</v>
      </c>
      <c r="G315" t="s">
        <v>510</v>
      </c>
    </row>
    <row r="316" spans="1:7" x14ac:dyDescent="0.3">
      <c r="A316" t="s">
        <v>132</v>
      </c>
      <c r="B316">
        <v>9</v>
      </c>
      <c r="C316">
        <v>300</v>
      </c>
      <c r="D316">
        <v>5.31</v>
      </c>
      <c r="E316">
        <v>0.42</v>
      </c>
      <c r="F316">
        <v>0.43</v>
      </c>
      <c r="G316" t="s">
        <v>511</v>
      </c>
    </row>
    <row r="317" spans="1:7" x14ac:dyDescent="0.3">
      <c r="A317" t="s">
        <v>132</v>
      </c>
      <c r="B317">
        <v>10</v>
      </c>
      <c r="C317">
        <v>320</v>
      </c>
      <c r="D317">
        <v>4.93</v>
      </c>
      <c r="E317">
        <v>0.433</v>
      </c>
      <c r="F317">
        <v>0.41</v>
      </c>
      <c r="G317" t="s">
        <v>512</v>
      </c>
    </row>
    <row r="318" spans="1:7" x14ac:dyDescent="0.3">
      <c r="A318" t="s">
        <v>132</v>
      </c>
      <c r="B318">
        <v>11</v>
      </c>
      <c r="C318">
        <v>350</v>
      </c>
      <c r="D318">
        <v>4.26</v>
      </c>
      <c r="E318">
        <v>0.45</v>
      </c>
      <c r="F318">
        <v>0.37</v>
      </c>
      <c r="G318" t="s">
        <v>513</v>
      </c>
    </row>
    <row r="319" spans="1:7" x14ac:dyDescent="0.3">
      <c r="A319" t="s">
        <v>132</v>
      </c>
      <c r="B319">
        <v>12</v>
      </c>
      <c r="C319">
        <v>400</v>
      </c>
      <c r="D319">
        <v>2.92</v>
      </c>
      <c r="E319">
        <v>0.47599999999999998</v>
      </c>
      <c r="F319">
        <v>0.27</v>
      </c>
      <c r="G319" t="s">
        <v>514</v>
      </c>
    </row>
    <row r="320" spans="1:7" x14ac:dyDescent="0.3">
      <c r="A320" t="s">
        <v>132</v>
      </c>
      <c r="B320">
        <v>13</v>
      </c>
      <c r="C320">
        <v>440</v>
      </c>
      <c r="D320">
        <v>1.73</v>
      </c>
      <c r="E320">
        <v>0.49199999999999999</v>
      </c>
      <c r="F320">
        <v>0.18</v>
      </c>
      <c r="G320" t="s">
        <v>515</v>
      </c>
    </row>
    <row r="321" spans="1:7" x14ac:dyDescent="0.3">
      <c r="A321" t="s">
        <v>132</v>
      </c>
      <c r="B321">
        <v>14</v>
      </c>
      <c r="C321">
        <v>480</v>
      </c>
      <c r="D321">
        <v>0.55000000000000004</v>
      </c>
      <c r="E321">
        <v>0.505</v>
      </c>
      <c r="F321">
        <v>0.06</v>
      </c>
      <c r="G321" t="s">
        <v>516</v>
      </c>
    </row>
    <row r="322" spans="1:7" x14ac:dyDescent="0.3">
      <c r="A322" t="s">
        <v>132</v>
      </c>
      <c r="B322">
        <v>15</v>
      </c>
      <c r="C322">
        <v>500</v>
      </c>
      <c r="D322">
        <v>0</v>
      </c>
      <c r="E322">
        <v>0.50900000000000001</v>
      </c>
      <c r="F322">
        <v>0</v>
      </c>
      <c r="G322" t="s">
        <v>517</v>
      </c>
    </row>
    <row r="323" spans="1:7" x14ac:dyDescent="0.3">
      <c r="A323" t="s">
        <v>134</v>
      </c>
      <c r="B323">
        <v>0</v>
      </c>
      <c r="C323">
        <v>0</v>
      </c>
      <c r="D323">
        <v>9.1999999999999993</v>
      </c>
      <c r="E323">
        <v>6.5000000000000002E-2</v>
      </c>
      <c r="F323">
        <v>0</v>
      </c>
      <c r="G323" t="s">
        <v>518</v>
      </c>
    </row>
    <row r="324" spans="1:7" x14ac:dyDescent="0.3">
      <c r="A324" t="s">
        <v>134</v>
      </c>
      <c r="B324">
        <v>1</v>
      </c>
      <c r="C324">
        <v>10</v>
      </c>
      <c r="D324">
        <v>9.1999999999999993</v>
      </c>
      <c r="E324">
        <v>6.5000000000000002E-2</v>
      </c>
      <c r="F324">
        <v>0.16</v>
      </c>
      <c r="G324" t="s">
        <v>519</v>
      </c>
    </row>
    <row r="325" spans="1:7" x14ac:dyDescent="0.3">
      <c r="A325" t="s">
        <v>134</v>
      </c>
      <c r="B325">
        <v>2</v>
      </c>
      <c r="C325">
        <v>20</v>
      </c>
      <c r="D325">
        <v>8.5</v>
      </c>
      <c r="E325">
        <v>6.5000000000000002E-2</v>
      </c>
      <c r="F325">
        <v>0.28999999999999998</v>
      </c>
      <c r="G325" t="s">
        <v>520</v>
      </c>
    </row>
    <row r="326" spans="1:7" x14ac:dyDescent="0.3">
      <c r="A326" t="s">
        <v>134</v>
      </c>
      <c r="B326">
        <v>3</v>
      </c>
      <c r="C326">
        <v>30</v>
      </c>
      <c r="D326">
        <v>7.3</v>
      </c>
      <c r="E326">
        <v>6.5000000000000002E-2</v>
      </c>
      <c r="F326">
        <v>0.37</v>
      </c>
      <c r="G326" t="s">
        <v>521</v>
      </c>
    </row>
    <row r="327" spans="1:7" x14ac:dyDescent="0.3">
      <c r="A327" t="s">
        <v>134</v>
      </c>
      <c r="B327">
        <v>4</v>
      </c>
      <c r="C327">
        <v>34</v>
      </c>
      <c r="D327">
        <v>6.7</v>
      </c>
      <c r="E327">
        <v>6.7000000000000004E-2</v>
      </c>
      <c r="F327">
        <v>0.39</v>
      </c>
      <c r="G327" t="s">
        <v>522</v>
      </c>
    </row>
    <row r="328" spans="1:7" x14ac:dyDescent="0.3">
      <c r="A328" t="s">
        <v>134</v>
      </c>
      <c r="B328">
        <v>5</v>
      </c>
      <c r="C328">
        <v>40</v>
      </c>
      <c r="D328">
        <v>5.6</v>
      </c>
      <c r="E328">
        <v>6.9000000000000006E-2</v>
      </c>
      <c r="F328">
        <v>0.37</v>
      </c>
      <c r="G328" t="s">
        <v>523</v>
      </c>
    </row>
    <row r="329" spans="1:7" x14ac:dyDescent="0.3">
      <c r="A329" t="s">
        <v>134</v>
      </c>
      <c r="B329">
        <v>6</v>
      </c>
      <c r="C329">
        <v>45</v>
      </c>
      <c r="D329">
        <v>4.5999999999999996</v>
      </c>
      <c r="E329">
        <v>7.1999999999999995E-2</v>
      </c>
      <c r="F329">
        <v>0.33</v>
      </c>
      <c r="G329" t="s">
        <v>524</v>
      </c>
    </row>
    <row r="330" spans="1:7" x14ac:dyDescent="0.3">
      <c r="A330" t="s">
        <v>134</v>
      </c>
      <c r="B330">
        <v>7</v>
      </c>
      <c r="C330">
        <v>55</v>
      </c>
      <c r="D330">
        <v>2</v>
      </c>
      <c r="E330">
        <v>7.8E-2</v>
      </c>
      <c r="F330">
        <v>0.16</v>
      </c>
      <c r="G330" t="s">
        <v>525</v>
      </c>
    </row>
    <row r="331" spans="1:7" x14ac:dyDescent="0.3">
      <c r="A331" t="s">
        <v>134</v>
      </c>
      <c r="B331">
        <v>8</v>
      </c>
      <c r="C331">
        <v>60</v>
      </c>
      <c r="D331">
        <v>0</v>
      </c>
      <c r="E331">
        <v>8.1000000000000003E-2</v>
      </c>
      <c r="F331">
        <v>0</v>
      </c>
      <c r="G331" t="s">
        <v>526</v>
      </c>
    </row>
    <row r="332" spans="1:7" x14ac:dyDescent="0.3">
      <c r="A332" t="s">
        <v>136</v>
      </c>
      <c r="B332">
        <v>0</v>
      </c>
      <c r="C332">
        <v>0</v>
      </c>
      <c r="D332">
        <v>8.1999999999999993</v>
      </c>
      <c r="E332">
        <v>7.0000000000000007E-2</v>
      </c>
      <c r="F332">
        <v>0</v>
      </c>
      <c r="G332" t="s">
        <v>527</v>
      </c>
    </row>
    <row r="333" spans="1:7" x14ac:dyDescent="0.3">
      <c r="A333" t="s">
        <v>136</v>
      </c>
      <c r="B333">
        <v>1</v>
      </c>
      <c r="C333">
        <v>10</v>
      </c>
      <c r="D333">
        <v>8.1</v>
      </c>
      <c r="E333">
        <v>7.0999999999999994E-2</v>
      </c>
      <c r="F333">
        <v>0.13</v>
      </c>
      <c r="G333" t="s">
        <v>528</v>
      </c>
    </row>
    <row r="334" spans="1:7" x14ac:dyDescent="0.3">
      <c r="A334" t="s">
        <v>136</v>
      </c>
      <c r="B334">
        <v>2</v>
      </c>
      <c r="C334">
        <v>20</v>
      </c>
      <c r="D334">
        <v>7.8</v>
      </c>
      <c r="E334">
        <v>7.1999999999999995E-2</v>
      </c>
      <c r="F334">
        <v>0.24</v>
      </c>
      <c r="G334" t="s">
        <v>529</v>
      </c>
    </row>
    <row r="335" spans="1:7" x14ac:dyDescent="0.3">
      <c r="A335" t="s">
        <v>136</v>
      </c>
      <c r="B335">
        <v>3</v>
      </c>
      <c r="C335">
        <v>30</v>
      </c>
      <c r="D335">
        <v>7.39</v>
      </c>
      <c r="E335">
        <v>7.2999999999999995E-2</v>
      </c>
      <c r="F335">
        <v>0.34</v>
      </c>
      <c r="G335" t="s">
        <v>530</v>
      </c>
    </row>
    <row r="336" spans="1:7" x14ac:dyDescent="0.3">
      <c r="A336" t="s">
        <v>136</v>
      </c>
      <c r="B336">
        <v>4</v>
      </c>
      <c r="C336">
        <v>35</v>
      </c>
      <c r="D336">
        <v>7.2</v>
      </c>
      <c r="E336">
        <v>7.2999999999999995E-2</v>
      </c>
      <c r="F336">
        <v>0.39</v>
      </c>
      <c r="G336" t="s">
        <v>531</v>
      </c>
    </row>
    <row r="337" spans="1:7" x14ac:dyDescent="0.3">
      <c r="A337" t="s">
        <v>136</v>
      </c>
      <c r="B337">
        <v>5</v>
      </c>
      <c r="C337">
        <v>40</v>
      </c>
      <c r="D337">
        <v>6.94</v>
      </c>
      <c r="E337">
        <v>7.2999999999999995E-2</v>
      </c>
      <c r="F337">
        <v>0.43</v>
      </c>
      <c r="G337" t="s">
        <v>532</v>
      </c>
    </row>
    <row r="338" spans="1:7" x14ac:dyDescent="0.3">
      <c r="A338" t="s">
        <v>136</v>
      </c>
      <c r="B338">
        <v>6</v>
      </c>
      <c r="C338">
        <v>50</v>
      </c>
      <c r="D338">
        <v>6.04</v>
      </c>
      <c r="E338">
        <v>7.3999999999999996E-2</v>
      </c>
      <c r="F338">
        <v>0.46</v>
      </c>
      <c r="G338" t="s">
        <v>533</v>
      </c>
    </row>
    <row r="339" spans="1:7" x14ac:dyDescent="0.3">
      <c r="A339" t="s">
        <v>136</v>
      </c>
      <c r="B339">
        <v>7</v>
      </c>
      <c r="C339">
        <v>60</v>
      </c>
      <c r="D339">
        <v>4.5</v>
      </c>
      <c r="E339">
        <v>7.8E-2</v>
      </c>
      <c r="F339">
        <v>0.4</v>
      </c>
      <c r="G339" t="s">
        <v>534</v>
      </c>
    </row>
    <row r="340" spans="1:7" x14ac:dyDescent="0.3">
      <c r="A340" t="s">
        <v>136</v>
      </c>
      <c r="B340">
        <v>8</v>
      </c>
      <c r="C340">
        <v>70</v>
      </c>
      <c r="D340">
        <v>2.8</v>
      </c>
      <c r="E340">
        <v>8.4000000000000005E-2</v>
      </c>
      <c r="F340">
        <v>0.27</v>
      </c>
      <c r="G340" t="s">
        <v>535</v>
      </c>
    </row>
    <row r="341" spans="1:7" x14ac:dyDescent="0.3">
      <c r="A341" t="s">
        <v>136</v>
      </c>
      <c r="B341">
        <v>9</v>
      </c>
      <c r="C341">
        <v>80</v>
      </c>
      <c r="D341">
        <v>1.3</v>
      </c>
      <c r="E341">
        <v>9.2999999999999999E-2</v>
      </c>
      <c r="F341">
        <v>0.12</v>
      </c>
      <c r="G341" t="s">
        <v>536</v>
      </c>
    </row>
    <row r="342" spans="1:7" x14ac:dyDescent="0.3">
      <c r="A342" t="s">
        <v>136</v>
      </c>
      <c r="B342">
        <v>10</v>
      </c>
      <c r="C342">
        <v>85</v>
      </c>
      <c r="D342">
        <v>0</v>
      </c>
      <c r="E342">
        <v>9.7000000000000003E-2</v>
      </c>
      <c r="F342">
        <v>0</v>
      </c>
      <c r="G342" t="s">
        <v>537</v>
      </c>
    </row>
    <row r="343" spans="1:7" x14ac:dyDescent="0.3">
      <c r="A343" t="s">
        <v>138</v>
      </c>
      <c r="B343">
        <v>0</v>
      </c>
      <c r="C343">
        <v>0</v>
      </c>
      <c r="D343">
        <v>7.2</v>
      </c>
      <c r="E343">
        <v>5.5E-2</v>
      </c>
      <c r="F343">
        <v>0</v>
      </c>
      <c r="G343" t="s">
        <v>538</v>
      </c>
    </row>
    <row r="344" spans="1:7" x14ac:dyDescent="0.3">
      <c r="A344" t="s">
        <v>138</v>
      </c>
      <c r="B344">
        <v>1</v>
      </c>
      <c r="C344">
        <v>10</v>
      </c>
      <c r="D344">
        <v>7.24</v>
      </c>
      <c r="E344">
        <v>5.8000000000000003E-2</v>
      </c>
      <c r="F344">
        <v>0.14000000000000001</v>
      </c>
      <c r="G344" t="s">
        <v>539</v>
      </c>
    </row>
    <row r="345" spans="1:7" x14ac:dyDescent="0.3">
      <c r="A345" t="s">
        <v>138</v>
      </c>
      <c r="B345">
        <v>2</v>
      </c>
      <c r="C345">
        <v>20</v>
      </c>
      <c r="D345">
        <v>7.2</v>
      </c>
      <c r="E345">
        <v>6.0999999999999999E-2</v>
      </c>
      <c r="F345">
        <v>0.26</v>
      </c>
      <c r="G345" t="s">
        <v>540</v>
      </c>
    </row>
    <row r="346" spans="1:7" x14ac:dyDescent="0.3">
      <c r="A346" t="s">
        <v>138</v>
      </c>
      <c r="B346">
        <v>3</v>
      </c>
      <c r="C346">
        <v>30</v>
      </c>
      <c r="D346">
        <v>7.05</v>
      </c>
      <c r="E346">
        <v>6.5000000000000002E-2</v>
      </c>
      <c r="F346">
        <v>0.37</v>
      </c>
      <c r="G346" t="s">
        <v>541</v>
      </c>
    </row>
    <row r="347" spans="1:7" x14ac:dyDescent="0.3">
      <c r="A347" t="s">
        <v>138</v>
      </c>
      <c r="B347">
        <v>4</v>
      </c>
      <c r="C347">
        <v>35</v>
      </c>
      <c r="D347">
        <v>6.9</v>
      </c>
      <c r="E347">
        <v>6.7000000000000004E-2</v>
      </c>
      <c r="F347">
        <v>0.41</v>
      </c>
      <c r="G347" t="s">
        <v>542</v>
      </c>
    </row>
    <row r="348" spans="1:7" x14ac:dyDescent="0.3">
      <c r="A348" t="s">
        <v>138</v>
      </c>
      <c r="B348">
        <v>5</v>
      </c>
      <c r="C348">
        <v>40</v>
      </c>
      <c r="D348">
        <v>6.75</v>
      </c>
      <c r="E348">
        <v>6.8000000000000005E-2</v>
      </c>
      <c r="F348">
        <v>0.45</v>
      </c>
      <c r="G348" t="s">
        <v>543</v>
      </c>
    </row>
    <row r="349" spans="1:7" x14ac:dyDescent="0.3">
      <c r="A349" t="s">
        <v>138</v>
      </c>
      <c r="B349">
        <v>6</v>
      </c>
      <c r="C349">
        <v>50</v>
      </c>
      <c r="D349">
        <v>6.24</v>
      </c>
      <c r="E349">
        <v>7.0999999999999994E-2</v>
      </c>
      <c r="F349">
        <v>0.5</v>
      </c>
      <c r="G349" t="s">
        <v>544</v>
      </c>
    </row>
    <row r="350" spans="1:7" x14ac:dyDescent="0.3">
      <c r="A350" t="s">
        <v>138</v>
      </c>
      <c r="B350">
        <v>7</v>
      </c>
      <c r="C350">
        <v>60</v>
      </c>
      <c r="D350">
        <v>5.46</v>
      </c>
      <c r="E350">
        <v>7.1999999999999995E-2</v>
      </c>
      <c r="F350">
        <v>0.51</v>
      </c>
      <c r="G350" t="s">
        <v>545</v>
      </c>
    </row>
    <row r="351" spans="1:7" x14ac:dyDescent="0.3">
      <c r="A351" t="s">
        <v>138</v>
      </c>
      <c r="B351">
        <v>8</v>
      </c>
      <c r="C351">
        <v>70</v>
      </c>
      <c r="D351">
        <v>4.4000000000000004</v>
      </c>
      <c r="E351">
        <v>7.3999999999999996E-2</v>
      </c>
      <c r="F351">
        <v>0.47</v>
      </c>
      <c r="G351" t="s">
        <v>546</v>
      </c>
    </row>
    <row r="352" spans="1:7" x14ac:dyDescent="0.3">
      <c r="A352" t="s">
        <v>138</v>
      </c>
      <c r="B352">
        <v>9</v>
      </c>
      <c r="C352">
        <v>80</v>
      </c>
      <c r="D352">
        <v>3.04</v>
      </c>
      <c r="E352">
        <v>7.5999999999999998E-2</v>
      </c>
      <c r="F352">
        <v>0.36</v>
      </c>
      <c r="G352" t="s">
        <v>547</v>
      </c>
    </row>
    <row r="353" spans="1:7" x14ac:dyDescent="0.3">
      <c r="A353" t="s">
        <v>138</v>
      </c>
      <c r="B353">
        <v>10</v>
      </c>
      <c r="C353">
        <v>90</v>
      </c>
      <c r="D353">
        <v>1.53</v>
      </c>
      <c r="E353">
        <v>7.9000000000000001E-2</v>
      </c>
      <c r="F353">
        <v>0.21</v>
      </c>
      <c r="G353" t="s">
        <v>548</v>
      </c>
    </row>
    <row r="354" spans="1:7" x14ac:dyDescent="0.3">
      <c r="A354" t="s">
        <v>138</v>
      </c>
      <c r="B354">
        <v>11</v>
      </c>
      <c r="C354">
        <v>100</v>
      </c>
      <c r="D354">
        <v>0</v>
      </c>
      <c r="E354">
        <v>8.5000000000000006E-2</v>
      </c>
      <c r="F354">
        <v>0</v>
      </c>
      <c r="G354" t="s">
        <v>549</v>
      </c>
    </row>
    <row r="355" spans="1:7" x14ac:dyDescent="0.3">
      <c r="A355" t="s">
        <v>140</v>
      </c>
      <c r="B355">
        <v>0</v>
      </c>
      <c r="C355">
        <v>0</v>
      </c>
      <c r="D355">
        <v>7.29</v>
      </c>
      <c r="E355">
        <v>0.40600000000000003</v>
      </c>
      <c r="F355">
        <v>0</v>
      </c>
      <c r="G355" t="s">
        <v>550</v>
      </c>
    </row>
    <row r="356" spans="1:7" x14ac:dyDescent="0.3">
      <c r="A356" t="s">
        <v>140</v>
      </c>
      <c r="B356">
        <v>1</v>
      </c>
      <c r="C356">
        <v>50</v>
      </c>
      <c r="D356">
        <v>7.21</v>
      </c>
      <c r="E356">
        <v>0.42099999999999999</v>
      </c>
      <c r="F356">
        <v>0.1</v>
      </c>
      <c r="G356" t="s">
        <v>551</v>
      </c>
    </row>
    <row r="357" spans="1:7" x14ac:dyDescent="0.3">
      <c r="A357" t="s">
        <v>140</v>
      </c>
      <c r="B357">
        <v>2</v>
      </c>
      <c r="C357">
        <v>100</v>
      </c>
      <c r="D357">
        <v>7.11</v>
      </c>
      <c r="E357">
        <v>0.439</v>
      </c>
      <c r="F357">
        <v>0.18</v>
      </c>
      <c r="G357" t="s">
        <v>552</v>
      </c>
    </row>
    <row r="358" spans="1:7" x14ac:dyDescent="0.3">
      <c r="A358" t="s">
        <v>140</v>
      </c>
      <c r="B358">
        <v>3</v>
      </c>
      <c r="C358">
        <v>150</v>
      </c>
      <c r="D358">
        <v>6.92</v>
      </c>
      <c r="E358">
        <v>0.46800000000000003</v>
      </c>
      <c r="F358">
        <v>0.26</v>
      </c>
      <c r="G358" t="s">
        <v>553</v>
      </c>
    </row>
    <row r="359" spans="1:7" x14ac:dyDescent="0.3">
      <c r="A359" t="s">
        <v>140</v>
      </c>
      <c r="B359">
        <v>4</v>
      </c>
      <c r="C359">
        <v>200</v>
      </c>
      <c r="D359">
        <v>6.77</v>
      </c>
      <c r="E359">
        <v>0.48799999999999999</v>
      </c>
      <c r="F359">
        <v>0.32</v>
      </c>
      <c r="G359" t="s">
        <v>554</v>
      </c>
    </row>
    <row r="360" spans="1:7" x14ac:dyDescent="0.3">
      <c r="A360" t="s">
        <v>140</v>
      </c>
      <c r="B360">
        <v>5</v>
      </c>
      <c r="C360">
        <v>250</v>
      </c>
      <c r="D360">
        <v>6.51</v>
      </c>
      <c r="E360">
        <v>0.48899999999999999</v>
      </c>
      <c r="F360">
        <v>0.38</v>
      </c>
      <c r="G360" t="s">
        <v>555</v>
      </c>
    </row>
    <row r="361" spans="1:7" x14ac:dyDescent="0.3">
      <c r="A361" t="s">
        <v>140</v>
      </c>
      <c r="B361">
        <v>6</v>
      </c>
      <c r="C361">
        <v>300</v>
      </c>
      <c r="D361">
        <v>6.03</v>
      </c>
      <c r="E361">
        <v>0.47399999999999998</v>
      </c>
      <c r="F361">
        <v>0.43</v>
      </c>
      <c r="G361" t="s">
        <v>556</v>
      </c>
    </row>
    <row r="362" spans="1:7" x14ac:dyDescent="0.3">
      <c r="A362" t="s">
        <v>140</v>
      </c>
      <c r="B362">
        <v>7</v>
      </c>
      <c r="C362">
        <v>350</v>
      </c>
      <c r="D362">
        <v>5.47</v>
      </c>
      <c r="E362">
        <v>0.45800000000000002</v>
      </c>
      <c r="F362">
        <v>0.47</v>
      </c>
      <c r="G362" t="s">
        <v>557</v>
      </c>
    </row>
    <row r="363" spans="1:7" x14ac:dyDescent="0.3">
      <c r="A363" t="s">
        <v>140</v>
      </c>
      <c r="B363">
        <v>8</v>
      </c>
      <c r="C363">
        <v>400</v>
      </c>
      <c r="D363">
        <v>5.0599999999999996</v>
      </c>
      <c r="E363">
        <v>0.45300000000000001</v>
      </c>
      <c r="F363">
        <v>0.51</v>
      </c>
      <c r="G363" t="s">
        <v>558</v>
      </c>
    </row>
    <row r="364" spans="1:7" x14ac:dyDescent="0.3">
      <c r="A364" t="s">
        <v>140</v>
      </c>
      <c r="B364">
        <v>9</v>
      </c>
      <c r="C364">
        <v>450</v>
      </c>
      <c r="D364">
        <v>4.8899999999999997</v>
      </c>
      <c r="E364">
        <v>0.46200000000000002</v>
      </c>
      <c r="F364">
        <v>0.54700000000000004</v>
      </c>
      <c r="G364" t="s">
        <v>559</v>
      </c>
    </row>
    <row r="365" spans="1:7" x14ac:dyDescent="0.3">
      <c r="A365" t="s">
        <v>140</v>
      </c>
      <c r="B365">
        <v>10</v>
      </c>
      <c r="C365">
        <v>500</v>
      </c>
      <c r="D365">
        <v>4.79</v>
      </c>
      <c r="E365">
        <v>0.47899999999999998</v>
      </c>
      <c r="F365">
        <v>0.56999999999999995</v>
      </c>
      <c r="G365" t="s">
        <v>560</v>
      </c>
    </row>
    <row r="366" spans="1:7" x14ac:dyDescent="0.3">
      <c r="A366" t="s">
        <v>140</v>
      </c>
      <c r="B366">
        <v>11</v>
      </c>
      <c r="C366">
        <v>550</v>
      </c>
      <c r="D366">
        <v>4.51</v>
      </c>
      <c r="E366">
        <v>0.48799999999999999</v>
      </c>
      <c r="F366">
        <v>0.57999999999999996</v>
      </c>
      <c r="G366" t="s">
        <v>561</v>
      </c>
    </row>
    <row r="367" spans="1:7" x14ac:dyDescent="0.3">
      <c r="A367" t="s">
        <v>140</v>
      </c>
      <c r="B367">
        <v>12</v>
      </c>
      <c r="C367">
        <v>600</v>
      </c>
      <c r="D367">
        <v>3.93</v>
      </c>
      <c r="E367">
        <v>0.48299999999999998</v>
      </c>
      <c r="F367">
        <v>0.56000000000000005</v>
      </c>
      <c r="G367" t="s">
        <v>562</v>
      </c>
    </row>
    <row r="368" spans="1:7" x14ac:dyDescent="0.3">
      <c r="A368" t="s">
        <v>140</v>
      </c>
      <c r="B368">
        <v>13</v>
      </c>
      <c r="C368">
        <v>650</v>
      </c>
      <c r="D368">
        <v>3.14</v>
      </c>
      <c r="E368">
        <v>0.46700000000000003</v>
      </c>
      <c r="F368">
        <v>0.47599999999999998</v>
      </c>
      <c r="G368" t="s">
        <v>563</v>
      </c>
    </row>
    <row r="369" spans="1:7" x14ac:dyDescent="0.3">
      <c r="A369" t="s">
        <v>140</v>
      </c>
      <c r="B369">
        <v>14</v>
      </c>
      <c r="C369">
        <v>700</v>
      </c>
      <c r="D369">
        <v>2.12</v>
      </c>
      <c r="E369">
        <v>0.45</v>
      </c>
      <c r="F369">
        <v>0.36</v>
      </c>
      <c r="G369" t="s">
        <v>564</v>
      </c>
    </row>
    <row r="370" spans="1:7" x14ac:dyDescent="0.3">
      <c r="A370" t="s">
        <v>140</v>
      </c>
      <c r="B370">
        <v>15</v>
      </c>
      <c r="C370">
        <v>750</v>
      </c>
      <c r="D370">
        <v>0.94</v>
      </c>
      <c r="E370">
        <v>0.41699999999999998</v>
      </c>
      <c r="F370">
        <v>0.18</v>
      </c>
      <c r="G370" t="s">
        <v>565</v>
      </c>
    </row>
    <row r="371" spans="1:7" x14ac:dyDescent="0.3">
      <c r="A371" t="s">
        <v>140</v>
      </c>
      <c r="B371">
        <v>16</v>
      </c>
      <c r="C371">
        <v>780</v>
      </c>
      <c r="D371">
        <v>0</v>
      </c>
      <c r="E371">
        <v>0.40600000000000003</v>
      </c>
      <c r="F371">
        <v>0</v>
      </c>
      <c r="G371" t="s">
        <v>566</v>
      </c>
    </row>
    <row r="372" spans="1:7" x14ac:dyDescent="0.3">
      <c r="A372" t="s">
        <v>142</v>
      </c>
      <c r="B372">
        <v>0</v>
      </c>
      <c r="C372">
        <v>0</v>
      </c>
      <c r="D372">
        <v>5.0999999999999996</v>
      </c>
      <c r="E372">
        <v>0.35399999999999998</v>
      </c>
      <c r="F372">
        <v>0</v>
      </c>
      <c r="G372" t="s">
        <v>567</v>
      </c>
    </row>
    <row r="373" spans="1:7" x14ac:dyDescent="0.3">
      <c r="A373" t="s">
        <v>142</v>
      </c>
      <c r="B373">
        <v>1</v>
      </c>
      <c r="C373">
        <v>100</v>
      </c>
      <c r="D373">
        <v>5.16</v>
      </c>
      <c r="E373">
        <v>0.38300000000000001</v>
      </c>
      <c r="F373">
        <v>0.16</v>
      </c>
      <c r="G373" t="s">
        <v>568</v>
      </c>
    </row>
    <row r="374" spans="1:7" x14ac:dyDescent="0.3">
      <c r="A374" t="s">
        <v>142</v>
      </c>
      <c r="B374">
        <v>2</v>
      </c>
      <c r="C374">
        <v>200</v>
      </c>
      <c r="D374">
        <v>5.31</v>
      </c>
      <c r="E374">
        <v>0.443</v>
      </c>
      <c r="F374">
        <v>0.27</v>
      </c>
      <c r="G374" t="s">
        <v>569</v>
      </c>
    </row>
    <row r="375" spans="1:7" x14ac:dyDescent="0.3">
      <c r="A375" t="s">
        <v>142</v>
      </c>
      <c r="B375">
        <v>3</v>
      </c>
      <c r="C375">
        <v>300</v>
      </c>
      <c r="D375">
        <v>5.38</v>
      </c>
      <c r="E375">
        <v>0.48699999999999999</v>
      </c>
      <c r="F375">
        <v>0.37</v>
      </c>
      <c r="G375" t="s">
        <v>570</v>
      </c>
    </row>
    <row r="376" spans="1:7" x14ac:dyDescent="0.3">
      <c r="A376" t="s">
        <v>142</v>
      </c>
      <c r="B376">
        <v>4</v>
      </c>
      <c r="C376">
        <v>400</v>
      </c>
      <c r="D376">
        <v>5.14</v>
      </c>
      <c r="E376">
        <v>0.51100000000000001</v>
      </c>
      <c r="F376">
        <v>0.46</v>
      </c>
      <c r="G376" t="s">
        <v>571</v>
      </c>
    </row>
    <row r="377" spans="1:7" x14ac:dyDescent="0.3">
      <c r="A377" t="s">
        <v>142</v>
      </c>
      <c r="B377">
        <v>5</v>
      </c>
      <c r="C377">
        <v>500</v>
      </c>
      <c r="D377">
        <v>4.8600000000000003</v>
      </c>
      <c r="E377">
        <v>0.52400000000000002</v>
      </c>
      <c r="F377">
        <v>0.53</v>
      </c>
      <c r="G377" t="s">
        <v>572</v>
      </c>
    </row>
    <row r="378" spans="1:7" x14ac:dyDescent="0.3">
      <c r="A378" t="s">
        <v>142</v>
      </c>
      <c r="B378">
        <v>6</v>
      </c>
      <c r="C378">
        <v>550</v>
      </c>
      <c r="D378">
        <v>4.76</v>
      </c>
      <c r="E378">
        <v>0.53100000000000003</v>
      </c>
      <c r="F378">
        <v>0.56000000000000005</v>
      </c>
      <c r="G378" t="s">
        <v>573</v>
      </c>
    </row>
    <row r="379" spans="1:7" x14ac:dyDescent="0.3">
      <c r="A379" t="s">
        <v>142</v>
      </c>
      <c r="B379">
        <v>7</v>
      </c>
      <c r="C379">
        <v>600</v>
      </c>
      <c r="D379">
        <v>4.6500000000000004</v>
      </c>
      <c r="E379">
        <v>0.53700000000000003</v>
      </c>
      <c r="F379">
        <v>0.59</v>
      </c>
      <c r="G379" t="s">
        <v>574</v>
      </c>
    </row>
    <row r="380" spans="1:7" x14ac:dyDescent="0.3">
      <c r="A380" t="s">
        <v>142</v>
      </c>
      <c r="B380">
        <v>8</v>
      </c>
      <c r="C380">
        <v>700</v>
      </c>
      <c r="D380">
        <v>4.29</v>
      </c>
      <c r="E380">
        <v>0.55000000000000004</v>
      </c>
      <c r="F380">
        <v>0.62</v>
      </c>
      <c r="G380" t="s">
        <v>575</v>
      </c>
    </row>
    <row r="381" spans="1:7" x14ac:dyDescent="0.3">
      <c r="A381" t="s">
        <v>142</v>
      </c>
      <c r="B381">
        <v>9</v>
      </c>
      <c r="C381">
        <v>800</v>
      </c>
      <c r="D381">
        <v>3.63</v>
      </c>
      <c r="E381">
        <v>0.55100000000000005</v>
      </c>
      <c r="F381">
        <v>0.61</v>
      </c>
      <c r="G381" t="s">
        <v>576</v>
      </c>
    </row>
    <row r="382" spans="1:7" x14ac:dyDescent="0.3">
      <c r="A382" t="s">
        <v>142</v>
      </c>
      <c r="B382">
        <v>10</v>
      </c>
      <c r="C382">
        <v>840</v>
      </c>
      <c r="D382">
        <v>3.28</v>
      </c>
      <c r="E382">
        <v>0.54400000000000004</v>
      </c>
      <c r="F382">
        <v>0.59</v>
      </c>
      <c r="G382" t="s">
        <v>577</v>
      </c>
    </row>
    <row r="383" spans="1:7" x14ac:dyDescent="0.3">
      <c r="A383" t="s">
        <v>142</v>
      </c>
      <c r="B383">
        <v>11</v>
      </c>
      <c r="C383">
        <v>900</v>
      </c>
      <c r="D383">
        <v>2.66</v>
      </c>
      <c r="E383">
        <v>0.52300000000000002</v>
      </c>
      <c r="F383">
        <v>0.52</v>
      </c>
      <c r="G383" t="s">
        <v>578</v>
      </c>
    </row>
    <row r="384" spans="1:7" x14ac:dyDescent="0.3">
      <c r="A384" t="s">
        <v>142</v>
      </c>
      <c r="B384">
        <v>12</v>
      </c>
      <c r="C384">
        <v>1000</v>
      </c>
      <c r="D384">
        <v>1.1200000000000001</v>
      </c>
      <c r="E384">
        <v>0.45800000000000002</v>
      </c>
      <c r="F384">
        <v>0.25</v>
      </c>
      <c r="G384" t="s">
        <v>579</v>
      </c>
    </row>
    <row r="385" spans="1:7" x14ac:dyDescent="0.3">
      <c r="A385" t="s">
        <v>142</v>
      </c>
      <c r="B385">
        <v>13</v>
      </c>
      <c r="C385">
        <v>1050</v>
      </c>
      <c r="D385">
        <v>0</v>
      </c>
      <c r="E385">
        <v>0.41699999999999998</v>
      </c>
      <c r="F385">
        <v>0</v>
      </c>
      <c r="G385" t="s">
        <v>580</v>
      </c>
    </row>
    <row r="386" spans="1:7" x14ac:dyDescent="0.3">
      <c r="A386" t="s">
        <v>144</v>
      </c>
      <c r="B386">
        <v>0</v>
      </c>
      <c r="C386">
        <v>0</v>
      </c>
      <c r="D386">
        <v>6.44</v>
      </c>
      <c r="E386">
        <v>0.57399999999999995</v>
      </c>
      <c r="F386">
        <v>0</v>
      </c>
      <c r="G386" t="s">
        <v>581</v>
      </c>
    </row>
    <row r="387" spans="1:7" x14ac:dyDescent="0.3">
      <c r="A387" t="s">
        <v>144</v>
      </c>
      <c r="B387">
        <v>1</v>
      </c>
      <c r="C387">
        <v>100</v>
      </c>
      <c r="D387">
        <v>6.44</v>
      </c>
      <c r="E387">
        <v>0.64</v>
      </c>
      <c r="F387">
        <v>0.11</v>
      </c>
      <c r="G387" t="s">
        <v>582</v>
      </c>
    </row>
    <row r="388" spans="1:7" x14ac:dyDescent="0.3">
      <c r="A388" t="s">
        <v>144</v>
      </c>
      <c r="B388">
        <v>2</v>
      </c>
      <c r="C388">
        <v>200</v>
      </c>
      <c r="D388">
        <v>6.61</v>
      </c>
      <c r="E388">
        <v>0.71499999999999997</v>
      </c>
      <c r="F388">
        <v>0.21</v>
      </c>
      <c r="G388" t="s">
        <v>583</v>
      </c>
    </row>
    <row r="389" spans="1:7" x14ac:dyDescent="0.3">
      <c r="A389" t="s">
        <v>144</v>
      </c>
      <c r="B389">
        <v>3</v>
      </c>
      <c r="C389">
        <v>300</v>
      </c>
      <c r="D389">
        <v>6.71</v>
      </c>
      <c r="E389">
        <v>0.77800000000000002</v>
      </c>
      <c r="F389">
        <v>0.28999999999999998</v>
      </c>
      <c r="G389" t="s">
        <v>584</v>
      </c>
    </row>
    <row r="390" spans="1:7" x14ac:dyDescent="0.3">
      <c r="A390" t="s">
        <v>144</v>
      </c>
      <c r="B390">
        <v>4</v>
      </c>
      <c r="C390">
        <v>400</v>
      </c>
      <c r="D390">
        <v>6.67</v>
      </c>
      <c r="E390">
        <v>0.82199999999999995</v>
      </c>
      <c r="F390">
        <v>0.36</v>
      </c>
      <c r="G390" t="s">
        <v>585</v>
      </c>
    </row>
    <row r="391" spans="1:7" x14ac:dyDescent="0.3">
      <c r="A391" t="s">
        <v>144</v>
      </c>
      <c r="B391">
        <v>5</v>
      </c>
      <c r="C391">
        <v>500</v>
      </c>
      <c r="D391">
        <v>6.52</v>
      </c>
      <c r="E391">
        <v>0.86099999999999999</v>
      </c>
      <c r="F391">
        <v>0.42</v>
      </c>
      <c r="G391" t="s">
        <v>586</v>
      </c>
    </row>
    <row r="392" spans="1:7" x14ac:dyDescent="0.3">
      <c r="A392" t="s">
        <v>144</v>
      </c>
      <c r="B392">
        <v>6</v>
      </c>
      <c r="C392">
        <v>600</v>
      </c>
      <c r="D392">
        <v>6.32</v>
      </c>
      <c r="E392">
        <v>0.89800000000000002</v>
      </c>
      <c r="F392">
        <v>0.48</v>
      </c>
      <c r="G392" t="s">
        <v>587</v>
      </c>
    </row>
    <row r="393" spans="1:7" x14ac:dyDescent="0.3">
      <c r="A393" t="s">
        <v>144</v>
      </c>
      <c r="B393">
        <v>7</v>
      </c>
      <c r="C393">
        <v>700</v>
      </c>
      <c r="D393">
        <v>6.14</v>
      </c>
      <c r="E393">
        <v>0.93300000000000005</v>
      </c>
      <c r="F393">
        <v>0.53</v>
      </c>
      <c r="G393" t="s">
        <v>588</v>
      </c>
    </row>
    <row r="394" spans="1:7" x14ac:dyDescent="0.3">
      <c r="A394" t="s">
        <v>144</v>
      </c>
      <c r="B394">
        <v>8</v>
      </c>
      <c r="C394">
        <v>800</v>
      </c>
      <c r="D394">
        <v>6.02</v>
      </c>
      <c r="E394">
        <v>0.96699999999999997</v>
      </c>
      <c r="F394">
        <v>0.56999999999999995</v>
      </c>
      <c r="G394" t="s">
        <v>589</v>
      </c>
    </row>
    <row r="395" spans="1:7" x14ac:dyDescent="0.3">
      <c r="A395" t="s">
        <v>144</v>
      </c>
      <c r="B395">
        <v>9</v>
      </c>
      <c r="C395">
        <v>900</v>
      </c>
      <c r="D395">
        <v>5.93</v>
      </c>
      <c r="E395">
        <v>0.999</v>
      </c>
      <c r="F395">
        <v>0.61</v>
      </c>
      <c r="G395" t="s">
        <v>590</v>
      </c>
    </row>
    <row r="396" spans="1:7" x14ac:dyDescent="0.3">
      <c r="A396" t="s">
        <v>144</v>
      </c>
      <c r="B396">
        <v>10</v>
      </c>
      <c r="C396">
        <v>1000</v>
      </c>
      <c r="D396">
        <v>5.81</v>
      </c>
      <c r="E396">
        <v>1.026</v>
      </c>
      <c r="F396">
        <v>0.64</v>
      </c>
      <c r="G396" t="s">
        <v>591</v>
      </c>
    </row>
    <row r="397" spans="1:7" x14ac:dyDescent="0.3">
      <c r="A397" t="s">
        <v>144</v>
      </c>
      <c r="B397">
        <v>11</v>
      </c>
      <c r="C397">
        <v>1100</v>
      </c>
      <c r="D397">
        <v>5.54</v>
      </c>
      <c r="E397">
        <v>1.0469999999999999</v>
      </c>
      <c r="F397">
        <v>0.65</v>
      </c>
      <c r="G397" t="s">
        <v>592</v>
      </c>
    </row>
    <row r="398" spans="1:7" x14ac:dyDescent="0.3">
      <c r="A398" t="s">
        <v>144</v>
      </c>
      <c r="B398">
        <v>12</v>
      </c>
      <c r="C398">
        <v>1200</v>
      </c>
      <c r="D398">
        <v>5.0599999999999996</v>
      </c>
      <c r="E398">
        <v>1.0569999999999999</v>
      </c>
      <c r="F398">
        <v>0.64700000000000002</v>
      </c>
      <c r="G398" t="s">
        <v>593</v>
      </c>
    </row>
    <row r="399" spans="1:7" x14ac:dyDescent="0.3">
      <c r="A399" t="s">
        <v>144</v>
      </c>
      <c r="B399">
        <v>13</v>
      </c>
      <c r="C399">
        <v>1300</v>
      </c>
      <c r="D399">
        <v>4.3</v>
      </c>
      <c r="E399">
        <v>1.0509999999999999</v>
      </c>
      <c r="F399">
        <v>0.61</v>
      </c>
      <c r="G399" t="s">
        <v>594</v>
      </c>
    </row>
    <row r="400" spans="1:7" x14ac:dyDescent="0.3">
      <c r="A400" t="s">
        <v>144</v>
      </c>
      <c r="B400">
        <v>14</v>
      </c>
      <c r="C400">
        <v>1400</v>
      </c>
      <c r="D400">
        <v>3.3</v>
      </c>
      <c r="E400">
        <v>1.022</v>
      </c>
      <c r="F400">
        <v>0.53</v>
      </c>
      <c r="G400" t="s">
        <v>595</v>
      </c>
    </row>
    <row r="401" spans="1:7" x14ac:dyDescent="0.3">
      <c r="A401" t="s">
        <v>144</v>
      </c>
      <c r="B401">
        <v>15</v>
      </c>
      <c r="C401">
        <v>1500</v>
      </c>
      <c r="D401">
        <v>2.0099999999999998</v>
      </c>
      <c r="E401">
        <v>0.95399999999999996</v>
      </c>
      <c r="F401">
        <v>0.35199999999999998</v>
      </c>
      <c r="G401" t="s">
        <v>596</v>
      </c>
    </row>
    <row r="402" spans="1:7" x14ac:dyDescent="0.3">
      <c r="A402" t="s">
        <v>144</v>
      </c>
      <c r="B402">
        <v>16</v>
      </c>
      <c r="C402">
        <v>1600</v>
      </c>
      <c r="D402">
        <v>0</v>
      </c>
      <c r="E402">
        <v>0.80100000000000005</v>
      </c>
      <c r="F402">
        <v>0</v>
      </c>
      <c r="G402" t="s">
        <v>597</v>
      </c>
    </row>
    <row r="403" spans="1:7" x14ac:dyDescent="0.3">
      <c r="A403" t="s">
        <v>147</v>
      </c>
      <c r="B403">
        <v>0</v>
      </c>
      <c r="C403">
        <v>0</v>
      </c>
      <c r="D403">
        <v>6.63</v>
      </c>
      <c r="E403">
        <v>0.70199999999999996</v>
      </c>
      <c r="F403">
        <v>0</v>
      </c>
      <c r="G403" t="s">
        <v>598</v>
      </c>
    </row>
    <row r="404" spans="1:7" x14ac:dyDescent="0.3">
      <c r="A404" t="s">
        <v>147</v>
      </c>
      <c r="B404">
        <v>1</v>
      </c>
      <c r="C404">
        <v>100</v>
      </c>
      <c r="D404">
        <v>6.68</v>
      </c>
      <c r="E404">
        <v>0.74399999999999999</v>
      </c>
      <c r="F404">
        <v>0.1</v>
      </c>
      <c r="G404" t="s">
        <v>599</v>
      </c>
    </row>
    <row r="405" spans="1:7" x14ac:dyDescent="0.3">
      <c r="A405" t="s">
        <v>147</v>
      </c>
      <c r="B405">
        <v>2</v>
      </c>
      <c r="C405">
        <v>200</v>
      </c>
      <c r="D405">
        <v>6.57</v>
      </c>
      <c r="E405">
        <v>0.78400000000000003</v>
      </c>
      <c r="F405">
        <v>0.19</v>
      </c>
      <c r="G405" t="s">
        <v>600</v>
      </c>
    </row>
    <row r="406" spans="1:7" x14ac:dyDescent="0.3">
      <c r="A406" t="s">
        <v>147</v>
      </c>
      <c r="B406">
        <v>3</v>
      </c>
      <c r="C406">
        <v>300</v>
      </c>
      <c r="D406">
        <v>6.46</v>
      </c>
      <c r="E406">
        <v>0.82299999999999995</v>
      </c>
      <c r="F406">
        <v>0.26</v>
      </c>
      <c r="G406" t="s">
        <v>601</v>
      </c>
    </row>
    <row r="407" spans="1:7" x14ac:dyDescent="0.3">
      <c r="A407" t="s">
        <v>147</v>
      </c>
      <c r="B407">
        <v>4</v>
      </c>
      <c r="C407">
        <v>400</v>
      </c>
      <c r="D407">
        <v>6.3</v>
      </c>
      <c r="E407">
        <v>0.85799999999999998</v>
      </c>
      <c r="F407">
        <v>0.33</v>
      </c>
      <c r="G407" t="s">
        <v>602</v>
      </c>
    </row>
    <row r="408" spans="1:7" x14ac:dyDescent="0.3">
      <c r="A408" t="s">
        <v>147</v>
      </c>
      <c r="B408">
        <v>5</v>
      </c>
      <c r="C408">
        <v>500</v>
      </c>
      <c r="D408">
        <v>6.08</v>
      </c>
      <c r="E408">
        <v>0.89100000000000001</v>
      </c>
      <c r="F408">
        <v>0.38</v>
      </c>
      <c r="G408" t="s">
        <v>603</v>
      </c>
    </row>
    <row r="409" spans="1:7" x14ac:dyDescent="0.3">
      <c r="A409" t="s">
        <v>147</v>
      </c>
      <c r="B409">
        <v>6</v>
      </c>
      <c r="C409">
        <v>600</v>
      </c>
      <c r="D409">
        <v>5.83</v>
      </c>
      <c r="E409">
        <v>0.92</v>
      </c>
      <c r="F409">
        <v>0.43</v>
      </c>
      <c r="G409" t="s">
        <v>604</v>
      </c>
    </row>
    <row r="410" spans="1:7" x14ac:dyDescent="0.3">
      <c r="A410" t="s">
        <v>147</v>
      </c>
      <c r="B410">
        <v>7</v>
      </c>
      <c r="C410">
        <v>700</v>
      </c>
      <c r="D410">
        <v>5.61</v>
      </c>
      <c r="E410">
        <v>0.95</v>
      </c>
      <c r="F410">
        <v>0.48</v>
      </c>
      <c r="G410" t="s">
        <v>605</v>
      </c>
    </row>
    <row r="411" spans="1:7" x14ac:dyDescent="0.3">
      <c r="A411" t="s">
        <v>147</v>
      </c>
      <c r="B411">
        <v>8</v>
      </c>
      <c r="C411">
        <v>800</v>
      </c>
      <c r="D411">
        <v>5.46</v>
      </c>
      <c r="E411">
        <v>0.97099999999999997</v>
      </c>
      <c r="F411">
        <v>0.52</v>
      </c>
      <c r="G411" t="s">
        <v>606</v>
      </c>
    </row>
    <row r="412" spans="1:7" x14ac:dyDescent="0.3">
      <c r="A412" t="s">
        <v>147</v>
      </c>
      <c r="B412">
        <v>9</v>
      </c>
      <c r="C412">
        <v>900</v>
      </c>
      <c r="D412">
        <v>5.38</v>
      </c>
      <c r="E412">
        <v>0.996</v>
      </c>
      <c r="F412">
        <v>0.56000000000000005</v>
      </c>
      <c r="G412" t="s">
        <v>607</v>
      </c>
    </row>
    <row r="413" spans="1:7" x14ac:dyDescent="0.3">
      <c r="A413" t="s">
        <v>147</v>
      </c>
      <c r="B413">
        <v>10</v>
      </c>
      <c r="C413">
        <v>1000</v>
      </c>
      <c r="D413">
        <v>5.33</v>
      </c>
      <c r="E413">
        <v>1.018</v>
      </c>
      <c r="F413">
        <v>0.59</v>
      </c>
      <c r="G413" t="s">
        <v>608</v>
      </c>
    </row>
    <row r="414" spans="1:7" x14ac:dyDescent="0.3">
      <c r="A414" t="s">
        <v>147</v>
      </c>
      <c r="B414">
        <v>11</v>
      </c>
      <c r="C414">
        <v>1100</v>
      </c>
      <c r="D414">
        <v>5.25</v>
      </c>
      <c r="E414">
        <v>1.0489999999999999</v>
      </c>
      <c r="F414">
        <v>0.62</v>
      </c>
      <c r="G414" t="s">
        <v>609</v>
      </c>
    </row>
    <row r="415" spans="1:7" x14ac:dyDescent="0.3">
      <c r="A415" t="s">
        <v>147</v>
      </c>
      <c r="B415">
        <v>12</v>
      </c>
      <c r="C415">
        <v>1250</v>
      </c>
      <c r="D415">
        <v>4.92</v>
      </c>
      <c r="E415">
        <v>1.0880000000000001</v>
      </c>
      <c r="F415">
        <v>0.64</v>
      </c>
      <c r="G415" t="s">
        <v>610</v>
      </c>
    </row>
    <row r="416" spans="1:7" x14ac:dyDescent="0.3">
      <c r="A416" t="s">
        <v>147</v>
      </c>
      <c r="B416">
        <v>13</v>
      </c>
      <c r="C416">
        <v>1400</v>
      </c>
      <c r="D416">
        <v>4.28</v>
      </c>
      <c r="E416">
        <v>1.1020000000000001</v>
      </c>
      <c r="F416">
        <v>0.62</v>
      </c>
      <c r="G416" t="s">
        <v>611</v>
      </c>
    </row>
    <row r="417" spans="1:7" x14ac:dyDescent="0.3">
      <c r="A417" t="s">
        <v>147</v>
      </c>
      <c r="B417">
        <v>14</v>
      </c>
      <c r="C417">
        <v>1500</v>
      </c>
      <c r="D417">
        <v>3.71</v>
      </c>
      <c r="E417">
        <v>1.0900000000000001</v>
      </c>
      <c r="F417">
        <v>0.59</v>
      </c>
      <c r="G417" t="s">
        <v>612</v>
      </c>
    </row>
    <row r="418" spans="1:7" x14ac:dyDescent="0.3">
      <c r="A418" t="s">
        <v>147</v>
      </c>
      <c r="B418">
        <v>15</v>
      </c>
      <c r="C418">
        <v>1600</v>
      </c>
      <c r="D418">
        <v>3.08</v>
      </c>
      <c r="E418">
        <v>1.0589999999999999</v>
      </c>
      <c r="F418">
        <v>0.53</v>
      </c>
      <c r="G418" t="s">
        <v>613</v>
      </c>
    </row>
    <row r="419" spans="1:7" x14ac:dyDescent="0.3">
      <c r="A419" t="s">
        <v>147</v>
      </c>
      <c r="B419">
        <v>16</v>
      </c>
      <c r="C419">
        <v>1700</v>
      </c>
      <c r="D419">
        <v>2.4</v>
      </c>
      <c r="E419">
        <v>1.0109999999999999</v>
      </c>
      <c r="F419">
        <v>0.44</v>
      </c>
      <c r="G419" t="s">
        <v>614</v>
      </c>
    </row>
    <row r="420" spans="1:7" x14ac:dyDescent="0.3">
      <c r="A420" t="s">
        <v>147</v>
      </c>
      <c r="B420">
        <v>17</v>
      </c>
      <c r="C420">
        <v>1800</v>
      </c>
      <c r="D420">
        <v>1.58</v>
      </c>
      <c r="E420">
        <v>0.95399999999999996</v>
      </c>
      <c r="F420">
        <v>0.33</v>
      </c>
      <c r="G420" t="s">
        <v>615</v>
      </c>
    </row>
    <row r="421" spans="1:7" x14ac:dyDescent="0.3">
      <c r="A421" t="s">
        <v>147</v>
      </c>
      <c r="B421">
        <v>18</v>
      </c>
      <c r="C421">
        <v>1900</v>
      </c>
      <c r="D421">
        <v>0.73</v>
      </c>
      <c r="E421">
        <v>0.90800000000000003</v>
      </c>
      <c r="F421">
        <v>0.18</v>
      </c>
      <c r="G421" t="s">
        <v>616</v>
      </c>
    </row>
    <row r="422" spans="1:7" x14ac:dyDescent="0.3">
      <c r="A422" t="s">
        <v>147</v>
      </c>
      <c r="B422">
        <v>19</v>
      </c>
      <c r="C422">
        <v>2000</v>
      </c>
      <c r="D422">
        <v>0</v>
      </c>
      <c r="E422">
        <v>0.89600000000000002</v>
      </c>
      <c r="F422">
        <v>0</v>
      </c>
      <c r="G422" t="s">
        <v>617</v>
      </c>
    </row>
    <row r="423" spans="1:7" x14ac:dyDescent="0.3">
      <c r="A423" t="s">
        <v>149</v>
      </c>
      <c r="B423">
        <v>0</v>
      </c>
      <c r="C423">
        <v>0</v>
      </c>
      <c r="D423">
        <v>12.12</v>
      </c>
      <c r="E423">
        <v>0.27400000000000002</v>
      </c>
      <c r="F423">
        <v>0</v>
      </c>
      <c r="G423" t="s">
        <v>618</v>
      </c>
    </row>
    <row r="424" spans="1:7" x14ac:dyDescent="0.3">
      <c r="A424" t="s">
        <v>149</v>
      </c>
      <c r="B424">
        <v>1</v>
      </c>
      <c r="C424">
        <v>20</v>
      </c>
      <c r="D424">
        <v>11.94</v>
      </c>
      <c r="E424">
        <v>0.27610000000000001</v>
      </c>
      <c r="F424">
        <v>8.8700000000000001E-2</v>
      </c>
      <c r="G424" t="s">
        <v>619</v>
      </c>
    </row>
    <row r="425" spans="1:7" x14ac:dyDescent="0.3">
      <c r="A425" t="s">
        <v>149</v>
      </c>
      <c r="B425">
        <v>2</v>
      </c>
      <c r="C425">
        <v>40</v>
      </c>
      <c r="D425">
        <v>11.81</v>
      </c>
      <c r="E425">
        <v>0.27750000000000002</v>
      </c>
      <c r="F425">
        <v>0.18</v>
      </c>
      <c r="G425" t="s">
        <v>620</v>
      </c>
    </row>
    <row r="426" spans="1:7" x14ac:dyDescent="0.3">
      <c r="A426" t="s">
        <v>149</v>
      </c>
      <c r="B426">
        <v>3</v>
      </c>
      <c r="C426">
        <v>60</v>
      </c>
      <c r="D426">
        <v>11.68</v>
      </c>
      <c r="E426">
        <v>0.27800000000000002</v>
      </c>
      <c r="F426">
        <v>0.28360000000000002</v>
      </c>
      <c r="G426" t="s">
        <v>621</v>
      </c>
    </row>
    <row r="427" spans="1:7" x14ac:dyDescent="0.3">
      <c r="A427" t="s">
        <v>149</v>
      </c>
      <c r="B427">
        <v>4</v>
      </c>
      <c r="C427">
        <v>80</v>
      </c>
      <c r="D427">
        <v>11.49</v>
      </c>
      <c r="E427">
        <v>0.27700000000000002</v>
      </c>
      <c r="F427">
        <v>0.38</v>
      </c>
      <c r="G427" t="s">
        <v>622</v>
      </c>
    </row>
    <row r="428" spans="1:7" x14ac:dyDescent="0.3">
      <c r="A428" t="s">
        <v>149</v>
      </c>
      <c r="B428">
        <v>5</v>
      </c>
      <c r="C428">
        <v>100</v>
      </c>
      <c r="D428">
        <v>11.2</v>
      </c>
      <c r="E428">
        <v>0.27900000000000003</v>
      </c>
      <c r="F428">
        <v>0.46</v>
      </c>
      <c r="G428" t="s">
        <v>623</v>
      </c>
    </row>
    <row r="429" spans="1:7" x14ac:dyDescent="0.3">
      <c r="A429" t="s">
        <v>149</v>
      </c>
      <c r="B429">
        <v>6</v>
      </c>
      <c r="C429">
        <v>120</v>
      </c>
      <c r="D429">
        <v>10.76</v>
      </c>
      <c r="E429">
        <v>0.28260000000000002</v>
      </c>
      <c r="F429">
        <v>0.51559999999999995</v>
      </c>
      <c r="G429" t="s">
        <v>624</v>
      </c>
    </row>
    <row r="430" spans="1:7" x14ac:dyDescent="0.3">
      <c r="A430" t="s">
        <v>149</v>
      </c>
      <c r="B430">
        <v>7</v>
      </c>
      <c r="C430">
        <v>130</v>
      </c>
      <c r="D430">
        <v>10.49</v>
      </c>
      <c r="E430">
        <v>0.28799999999999998</v>
      </c>
      <c r="F430">
        <v>0.53</v>
      </c>
      <c r="G430" t="s">
        <v>625</v>
      </c>
    </row>
    <row r="431" spans="1:7" x14ac:dyDescent="0.3">
      <c r="A431" t="s">
        <v>149</v>
      </c>
      <c r="B431">
        <v>8</v>
      </c>
      <c r="C431">
        <v>160</v>
      </c>
      <c r="D431">
        <v>9.39</v>
      </c>
      <c r="E431">
        <v>0.30599999999999999</v>
      </c>
      <c r="F431">
        <v>0.55000000000000004</v>
      </c>
      <c r="G431" t="s">
        <v>626</v>
      </c>
    </row>
    <row r="432" spans="1:7" x14ac:dyDescent="0.3">
      <c r="A432" t="s">
        <v>149</v>
      </c>
      <c r="B432">
        <v>9</v>
      </c>
      <c r="C432">
        <v>180</v>
      </c>
      <c r="D432">
        <v>8.42</v>
      </c>
      <c r="E432">
        <v>0.32300000000000001</v>
      </c>
      <c r="F432">
        <v>0.53</v>
      </c>
      <c r="G432" t="s">
        <v>627</v>
      </c>
    </row>
    <row r="433" spans="1:7" x14ac:dyDescent="0.3">
      <c r="A433" t="s">
        <v>149</v>
      </c>
      <c r="B433">
        <v>10</v>
      </c>
      <c r="C433">
        <v>200</v>
      </c>
      <c r="D433">
        <v>7.28</v>
      </c>
      <c r="E433">
        <v>0.34300000000000003</v>
      </c>
      <c r="F433">
        <v>0.48</v>
      </c>
      <c r="G433" t="s">
        <v>628</v>
      </c>
    </row>
    <row r="434" spans="1:7" x14ac:dyDescent="0.3">
      <c r="A434" t="s">
        <v>149</v>
      </c>
      <c r="B434">
        <v>11</v>
      </c>
      <c r="C434">
        <v>220</v>
      </c>
      <c r="D434">
        <v>5.97</v>
      </c>
      <c r="E434">
        <v>0.36499999999999999</v>
      </c>
      <c r="F434">
        <v>0.41</v>
      </c>
      <c r="G434" t="s">
        <v>629</v>
      </c>
    </row>
    <row r="435" spans="1:7" x14ac:dyDescent="0.3">
      <c r="A435" t="s">
        <v>149</v>
      </c>
      <c r="B435">
        <v>12</v>
      </c>
      <c r="C435">
        <v>240</v>
      </c>
      <c r="D435">
        <v>4.53</v>
      </c>
      <c r="E435">
        <v>0.38600000000000001</v>
      </c>
      <c r="F435">
        <v>0.32</v>
      </c>
      <c r="G435" t="s">
        <v>630</v>
      </c>
    </row>
    <row r="436" spans="1:7" x14ac:dyDescent="0.3">
      <c r="A436" t="s">
        <v>149</v>
      </c>
      <c r="B436">
        <v>13</v>
      </c>
      <c r="C436">
        <v>260</v>
      </c>
      <c r="D436">
        <v>2.98</v>
      </c>
      <c r="E436">
        <v>0.40400000000000003</v>
      </c>
      <c r="F436">
        <v>0.21</v>
      </c>
      <c r="G436" t="s">
        <v>631</v>
      </c>
    </row>
    <row r="437" spans="1:7" x14ac:dyDescent="0.3">
      <c r="A437" t="s">
        <v>149</v>
      </c>
      <c r="B437">
        <v>14</v>
      </c>
      <c r="C437">
        <v>280</v>
      </c>
      <c r="D437">
        <v>1.23</v>
      </c>
      <c r="E437">
        <v>0.41599999999999998</v>
      </c>
      <c r="F437">
        <v>0.08</v>
      </c>
      <c r="G437" t="s">
        <v>632</v>
      </c>
    </row>
    <row r="438" spans="1:7" x14ac:dyDescent="0.3">
      <c r="A438" t="s">
        <v>149</v>
      </c>
      <c r="B438">
        <v>15</v>
      </c>
      <c r="C438">
        <v>292</v>
      </c>
      <c r="D438">
        <v>0</v>
      </c>
      <c r="E438">
        <v>0.41899999999999998</v>
      </c>
      <c r="F438">
        <v>0</v>
      </c>
      <c r="G438" t="s">
        <v>633</v>
      </c>
    </row>
    <row r="439" spans="1:7" x14ac:dyDescent="0.3">
      <c r="A439" t="s">
        <v>152</v>
      </c>
      <c r="B439">
        <v>0</v>
      </c>
      <c r="C439">
        <v>0</v>
      </c>
      <c r="D439">
        <v>12.07</v>
      </c>
      <c r="E439">
        <v>0.33300000000000002</v>
      </c>
      <c r="F439">
        <v>0</v>
      </c>
      <c r="G439" t="s">
        <v>634</v>
      </c>
    </row>
    <row r="440" spans="1:7" x14ac:dyDescent="0.3">
      <c r="A440" t="s">
        <v>152</v>
      </c>
      <c r="B440">
        <v>1</v>
      </c>
      <c r="C440">
        <v>50</v>
      </c>
      <c r="D440">
        <v>11.85</v>
      </c>
      <c r="E440">
        <v>0.38400000000000001</v>
      </c>
      <c r="F440">
        <v>0.17</v>
      </c>
      <c r="G440" t="s">
        <v>635</v>
      </c>
    </row>
    <row r="441" spans="1:7" x14ac:dyDescent="0.3">
      <c r="A441" t="s">
        <v>152</v>
      </c>
      <c r="B441">
        <v>2</v>
      </c>
      <c r="C441">
        <v>100</v>
      </c>
      <c r="D441">
        <v>11.7</v>
      </c>
      <c r="E441">
        <v>0.41299999999999998</v>
      </c>
      <c r="F441">
        <v>0.33</v>
      </c>
      <c r="G441" t="s">
        <v>636</v>
      </c>
    </row>
    <row r="442" spans="1:7" x14ac:dyDescent="0.3">
      <c r="A442" t="s">
        <v>152</v>
      </c>
      <c r="B442">
        <v>3</v>
      </c>
      <c r="C442">
        <v>150</v>
      </c>
      <c r="D442">
        <v>11.5</v>
      </c>
      <c r="E442">
        <v>0.42899999999999999</v>
      </c>
      <c r="F442">
        <v>0.47</v>
      </c>
      <c r="G442" t="s">
        <v>637</v>
      </c>
    </row>
    <row r="443" spans="1:7" x14ac:dyDescent="0.3">
      <c r="A443" t="s">
        <v>152</v>
      </c>
      <c r="B443">
        <v>4</v>
      </c>
      <c r="C443">
        <v>180</v>
      </c>
      <c r="D443">
        <v>11.19</v>
      </c>
      <c r="E443">
        <v>0.436</v>
      </c>
      <c r="F443">
        <v>0.53</v>
      </c>
      <c r="G443" t="s">
        <v>638</v>
      </c>
    </row>
    <row r="444" spans="1:7" x14ac:dyDescent="0.3">
      <c r="A444" t="s">
        <v>152</v>
      </c>
      <c r="B444">
        <v>5</v>
      </c>
      <c r="C444">
        <v>200</v>
      </c>
      <c r="D444">
        <v>10.87</v>
      </c>
      <c r="E444">
        <v>0.441</v>
      </c>
      <c r="F444">
        <v>0.56000000000000005</v>
      </c>
      <c r="G444" t="s">
        <v>639</v>
      </c>
    </row>
    <row r="445" spans="1:7" x14ac:dyDescent="0.3">
      <c r="A445" t="s">
        <v>152</v>
      </c>
      <c r="B445">
        <v>6</v>
      </c>
      <c r="C445">
        <v>250</v>
      </c>
      <c r="D445">
        <v>9.6300000000000008</v>
      </c>
      <c r="E445">
        <v>0.45400000000000001</v>
      </c>
      <c r="F445">
        <v>0.6</v>
      </c>
      <c r="G445" t="s">
        <v>640</v>
      </c>
    </row>
    <row r="446" spans="1:7" x14ac:dyDescent="0.3">
      <c r="A446" t="s">
        <v>152</v>
      </c>
      <c r="B446">
        <v>7</v>
      </c>
      <c r="C446">
        <v>310</v>
      </c>
      <c r="D446">
        <v>7.51</v>
      </c>
      <c r="E446">
        <v>0.47699999999999998</v>
      </c>
      <c r="F446">
        <v>0.56000000000000005</v>
      </c>
      <c r="G446" t="s">
        <v>641</v>
      </c>
    </row>
    <row r="447" spans="1:7" x14ac:dyDescent="0.3">
      <c r="A447" t="s">
        <v>152</v>
      </c>
      <c r="B447">
        <v>8</v>
      </c>
      <c r="C447">
        <v>350</v>
      </c>
      <c r="D447">
        <v>5.9</v>
      </c>
      <c r="E447">
        <v>0.498</v>
      </c>
      <c r="F447">
        <v>0.47</v>
      </c>
      <c r="G447" t="s">
        <v>642</v>
      </c>
    </row>
    <row r="448" spans="1:7" x14ac:dyDescent="0.3">
      <c r="A448" t="s">
        <v>152</v>
      </c>
      <c r="B448">
        <v>9</v>
      </c>
      <c r="C448">
        <v>400</v>
      </c>
      <c r="D448">
        <v>3.62</v>
      </c>
      <c r="E448">
        <v>0.53100000000000003</v>
      </c>
      <c r="F448">
        <v>0.28000000000000003</v>
      </c>
      <c r="G448" t="s">
        <v>643</v>
      </c>
    </row>
    <row r="449" spans="1:7" x14ac:dyDescent="0.3">
      <c r="A449" t="s">
        <v>152</v>
      </c>
      <c r="B449">
        <v>10</v>
      </c>
      <c r="C449">
        <v>450</v>
      </c>
      <c r="D449">
        <v>0</v>
      </c>
      <c r="E449">
        <v>0.57099999999999995</v>
      </c>
      <c r="F449">
        <v>0</v>
      </c>
      <c r="G449" t="s">
        <v>644</v>
      </c>
    </row>
    <row r="450" spans="1:7" x14ac:dyDescent="0.3">
      <c r="A450" t="s">
        <v>154</v>
      </c>
      <c r="B450">
        <v>0</v>
      </c>
      <c r="C450">
        <v>0</v>
      </c>
      <c r="D450">
        <v>9.08</v>
      </c>
      <c r="E450">
        <v>1.538</v>
      </c>
      <c r="F450">
        <v>0</v>
      </c>
      <c r="G450" t="s">
        <v>645</v>
      </c>
    </row>
    <row r="451" spans="1:7" x14ac:dyDescent="0.3">
      <c r="A451" t="s">
        <v>154</v>
      </c>
      <c r="B451">
        <v>1</v>
      </c>
      <c r="C451">
        <v>500</v>
      </c>
      <c r="D451">
        <v>8.8800000000000008</v>
      </c>
      <c r="E451">
        <v>1.6779999999999999</v>
      </c>
      <c r="F451">
        <v>0.31</v>
      </c>
      <c r="G451" t="s">
        <v>646</v>
      </c>
    </row>
    <row r="452" spans="1:7" x14ac:dyDescent="0.3">
      <c r="A452" t="s">
        <v>154</v>
      </c>
      <c r="B452">
        <v>2</v>
      </c>
      <c r="C452">
        <v>1000</v>
      </c>
      <c r="D452">
        <v>8.16</v>
      </c>
      <c r="E452">
        <v>1.913</v>
      </c>
      <c r="F452">
        <v>0.46</v>
      </c>
      <c r="G452" t="s">
        <v>647</v>
      </c>
    </row>
    <row r="453" spans="1:7" x14ac:dyDescent="0.3">
      <c r="A453" t="s">
        <v>154</v>
      </c>
      <c r="B453">
        <v>3</v>
      </c>
      <c r="C453">
        <v>1400</v>
      </c>
      <c r="D453">
        <v>7.61</v>
      </c>
      <c r="E453">
        <v>2.101</v>
      </c>
      <c r="F453">
        <v>0.56000000000000005</v>
      </c>
      <c r="G453" t="s">
        <v>648</v>
      </c>
    </row>
    <row r="454" spans="1:7" x14ac:dyDescent="0.3">
      <c r="A454" t="s">
        <v>154</v>
      </c>
      <c r="B454">
        <v>4</v>
      </c>
      <c r="C454">
        <v>2000</v>
      </c>
      <c r="D454">
        <v>6.71</v>
      </c>
      <c r="E454">
        <v>2.2290000000000001</v>
      </c>
      <c r="F454">
        <v>0.7</v>
      </c>
      <c r="G454" t="s">
        <v>649</v>
      </c>
    </row>
    <row r="455" spans="1:7" x14ac:dyDescent="0.3">
      <c r="A455" t="s">
        <v>154</v>
      </c>
      <c r="B455">
        <v>5</v>
      </c>
      <c r="C455">
        <v>2200</v>
      </c>
      <c r="D455">
        <v>6.23</v>
      </c>
      <c r="E455">
        <v>2.2000000000000002</v>
      </c>
      <c r="F455">
        <v>0.71</v>
      </c>
      <c r="G455" t="s">
        <v>650</v>
      </c>
    </row>
    <row r="456" spans="1:7" x14ac:dyDescent="0.3">
      <c r="A456" t="s">
        <v>154</v>
      </c>
      <c r="B456">
        <v>6</v>
      </c>
      <c r="C456">
        <v>2400</v>
      </c>
      <c r="D456">
        <v>5.5</v>
      </c>
      <c r="E456">
        <v>2.15</v>
      </c>
      <c r="F456">
        <v>0.69299999999999995</v>
      </c>
      <c r="G456" t="s">
        <v>651</v>
      </c>
    </row>
    <row r="457" spans="1:7" x14ac:dyDescent="0.3">
      <c r="A457" t="s">
        <v>154</v>
      </c>
      <c r="B457">
        <v>7</v>
      </c>
      <c r="C457">
        <v>2600</v>
      </c>
      <c r="D457">
        <v>4.49</v>
      </c>
      <c r="E457">
        <v>2.0870000000000002</v>
      </c>
      <c r="F457">
        <v>0.59</v>
      </c>
      <c r="G457" t="s">
        <v>652</v>
      </c>
    </row>
    <row r="458" spans="1:7" x14ac:dyDescent="0.3">
      <c r="A458" t="s">
        <v>154</v>
      </c>
      <c r="B458">
        <v>8</v>
      </c>
      <c r="C458">
        <v>2800</v>
      </c>
      <c r="D458">
        <v>3.02</v>
      </c>
      <c r="E458">
        <v>1.956</v>
      </c>
      <c r="F458">
        <v>0.43</v>
      </c>
      <c r="G458" t="s">
        <v>653</v>
      </c>
    </row>
    <row r="459" spans="1:7" x14ac:dyDescent="0.3">
      <c r="A459" t="s">
        <v>154</v>
      </c>
      <c r="B459">
        <v>9</v>
      </c>
      <c r="C459">
        <v>3000</v>
      </c>
      <c r="D459">
        <v>0.98</v>
      </c>
      <c r="E459">
        <v>1.7450000000000001</v>
      </c>
      <c r="F459">
        <v>0.15</v>
      </c>
      <c r="G459" t="s">
        <v>654</v>
      </c>
    </row>
    <row r="460" spans="1:7" x14ac:dyDescent="0.3">
      <c r="A460" t="s">
        <v>157</v>
      </c>
      <c r="B460">
        <v>0</v>
      </c>
      <c r="C460">
        <v>0</v>
      </c>
      <c r="D460">
        <v>21</v>
      </c>
      <c r="E460">
        <v>2.036</v>
      </c>
      <c r="F460">
        <v>0</v>
      </c>
      <c r="G460" t="s">
        <v>655</v>
      </c>
    </row>
    <row r="461" spans="1:7" x14ac:dyDescent="0.3">
      <c r="A461" t="s">
        <v>157</v>
      </c>
      <c r="B461">
        <v>1</v>
      </c>
      <c r="C461">
        <v>350</v>
      </c>
      <c r="D461">
        <v>21.8</v>
      </c>
      <c r="E461">
        <v>2.633</v>
      </c>
      <c r="F461">
        <v>0.33</v>
      </c>
      <c r="G461" t="s">
        <v>656</v>
      </c>
    </row>
    <row r="462" spans="1:7" x14ac:dyDescent="0.3">
      <c r="A462" t="s">
        <v>157</v>
      </c>
      <c r="B462">
        <v>2</v>
      </c>
      <c r="C462">
        <v>700</v>
      </c>
      <c r="D462">
        <v>22</v>
      </c>
      <c r="E462">
        <v>3.1589999999999998</v>
      </c>
      <c r="F462">
        <v>0.56000000000000005</v>
      </c>
      <c r="G462" t="s">
        <v>657</v>
      </c>
    </row>
    <row r="463" spans="1:7" x14ac:dyDescent="0.3">
      <c r="A463" t="s">
        <v>157</v>
      </c>
      <c r="B463">
        <v>3</v>
      </c>
      <c r="C463">
        <v>1000</v>
      </c>
      <c r="D463">
        <v>20.5</v>
      </c>
      <c r="E463">
        <v>3.5409999999999999</v>
      </c>
      <c r="F463">
        <v>0.66</v>
      </c>
      <c r="G463" t="s">
        <v>658</v>
      </c>
    </row>
    <row r="464" spans="1:7" x14ac:dyDescent="0.3">
      <c r="A464" t="s">
        <v>157</v>
      </c>
      <c r="B464">
        <v>4</v>
      </c>
      <c r="C464">
        <v>1300</v>
      </c>
      <c r="D464">
        <v>16.899999999999999</v>
      </c>
      <c r="E464">
        <v>3.8479999999999999</v>
      </c>
      <c r="F464">
        <v>0.64</v>
      </c>
      <c r="G464" t="s">
        <v>659</v>
      </c>
    </row>
    <row r="465" spans="1:7" x14ac:dyDescent="0.3">
      <c r="A465" t="s">
        <v>157</v>
      </c>
      <c r="B465">
        <v>5</v>
      </c>
      <c r="C465">
        <v>1400</v>
      </c>
      <c r="D465">
        <v>15.2</v>
      </c>
      <c r="E465">
        <v>3.9329999999999998</v>
      </c>
      <c r="F465">
        <v>0.61</v>
      </c>
      <c r="G465" t="s">
        <v>660</v>
      </c>
    </row>
    <row r="466" spans="1:7" x14ac:dyDescent="0.3">
      <c r="A466" t="s">
        <v>157</v>
      </c>
      <c r="B466">
        <v>6</v>
      </c>
      <c r="C466">
        <v>1700</v>
      </c>
      <c r="D466">
        <v>8</v>
      </c>
      <c r="E466">
        <v>4.1399999999999997</v>
      </c>
      <c r="F466">
        <v>0.37</v>
      </c>
      <c r="G466" t="s">
        <v>661</v>
      </c>
    </row>
    <row r="467" spans="1:7" x14ac:dyDescent="0.3">
      <c r="A467" t="s">
        <v>157</v>
      </c>
      <c r="B467">
        <v>7</v>
      </c>
      <c r="C467">
        <v>1900</v>
      </c>
      <c r="D467">
        <v>0</v>
      </c>
      <c r="E467">
        <v>4.3</v>
      </c>
      <c r="F467">
        <v>0</v>
      </c>
      <c r="G467" t="s">
        <v>662</v>
      </c>
    </row>
    <row r="468" spans="1:7" x14ac:dyDescent="0.3">
      <c r="A468" t="s">
        <v>160</v>
      </c>
      <c r="B468">
        <v>0</v>
      </c>
      <c r="C468">
        <v>0</v>
      </c>
      <c r="D468">
        <v>22.06</v>
      </c>
      <c r="E468">
        <v>3.4079999999999999</v>
      </c>
      <c r="F468">
        <v>0</v>
      </c>
      <c r="G468" t="s">
        <v>663</v>
      </c>
    </row>
    <row r="469" spans="1:7" x14ac:dyDescent="0.3">
      <c r="A469" t="s">
        <v>160</v>
      </c>
      <c r="B469">
        <v>1</v>
      </c>
      <c r="C469">
        <v>200</v>
      </c>
      <c r="D469">
        <v>22.54</v>
      </c>
      <c r="E469">
        <v>3.86</v>
      </c>
      <c r="F469">
        <v>0.14000000000000001</v>
      </c>
      <c r="G469" t="s">
        <v>664</v>
      </c>
    </row>
    <row r="470" spans="1:7" x14ac:dyDescent="0.3">
      <c r="A470" t="s">
        <v>160</v>
      </c>
      <c r="B470">
        <v>2</v>
      </c>
      <c r="C470">
        <v>400</v>
      </c>
      <c r="D470">
        <v>22.78</v>
      </c>
      <c r="E470">
        <v>4.32</v>
      </c>
      <c r="F470">
        <v>0.24</v>
      </c>
      <c r="G470" t="s">
        <v>665</v>
      </c>
    </row>
    <row r="471" spans="1:7" x14ac:dyDescent="0.3">
      <c r="A471" t="s">
        <v>160</v>
      </c>
      <c r="B471">
        <v>3</v>
      </c>
      <c r="C471">
        <v>600</v>
      </c>
      <c r="D471">
        <v>22.91</v>
      </c>
      <c r="E471">
        <v>4.7300000000000004</v>
      </c>
      <c r="F471">
        <v>0.33</v>
      </c>
      <c r="G471" t="s">
        <v>666</v>
      </c>
    </row>
    <row r="472" spans="1:7" x14ac:dyDescent="0.3">
      <c r="A472" t="s">
        <v>160</v>
      </c>
      <c r="B472">
        <v>4</v>
      </c>
      <c r="C472">
        <v>800</v>
      </c>
      <c r="D472">
        <v>22.91</v>
      </c>
      <c r="E472">
        <v>5.0999999999999996</v>
      </c>
      <c r="F472">
        <v>0.41</v>
      </c>
      <c r="G472" t="s">
        <v>667</v>
      </c>
    </row>
    <row r="473" spans="1:7" x14ac:dyDescent="0.3">
      <c r="A473" t="s">
        <v>160</v>
      </c>
      <c r="B473">
        <v>5</v>
      </c>
      <c r="C473">
        <v>1000</v>
      </c>
      <c r="D473">
        <v>22.7</v>
      </c>
      <c r="E473">
        <v>5.41</v>
      </c>
      <c r="F473">
        <v>0.48</v>
      </c>
      <c r="G473" t="s">
        <v>668</v>
      </c>
    </row>
    <row r="474" spans="1:7" x14ac:dyDescent="0.3">
      <c r="A474" t="s">
        <v>160</v>
      </c>
      <c r="B474">
        <v>6</v>
      </c>
      <c r="C474">
        <v>1200</v>
      </c>
      <c r="D474">
        <v>22.21</v>
      </c>
      <c r="E474">
        <v>5.62</v>
      </c>
      <c r="F474">
        <v>0.54</v>
      </c>
      <c r="G474" t="s">
        <v>669</v>
      </c>
    </row>
    <row r="475" spans="1:7" x14ac:dyDescent="0.3">
      <c r="A475" t="s">
        <v>160</v>
      </c>
      <c r="B475">
        <v>7</v>
      </c>
      <c r="C475">
        <v>1400</v>
      </c>
      <c r="D475">
        <v>21.4</v>
      </c>
      <c r="E475">
        <v>5.742</v>
      </c>
      <c r="F475">
        <v>0.59</v>
      </c>
      <c r="G475" t="s">
        <v>670</v>
      </c>
    </row>
    <row r="476" spans="1:7" x14ac:dyDescent="0.3">
      <c r="A476" t="s">
        <v>160</v>
      </c>
      <c r="B476">
        <v>8</v>
      </c>
      <c r="C476">
        <v>1600</v>
      </c>
      <c r="D476">
        <v>20.27</v>
      </c>
      <c r="E476">
        <v>5.88</v>
      </c>
      <c r="F476">
        <v>0.63</v>
      </c>
      <c r="G476" t="s">
        <v>671</v>
      </c>
    </row>
    <row r="477" spans="1:7" x14ac:dyDescent="0.3">
      <c r="A477" t="s">
        <v>160</v>
      </c>
      <c r="B477">
        <v>9</v>
      </c>
      <c r="C477">
        <v>1800</v>
      </c>
      <c r="D477">
        <v>18.88</v>
      </c>
      <c r="E477">
        <v>5.99</v>
      </c>
      <c r="F477">
        <v>0.65</v>
      </c>
      <c r="G477" t="s">
        <v>672</v>
      </c>
    </row>
    <row r="478" spans="1:7" x14ac:dyDescent="0.3">
      <c r="A478" t="s">
        <v>160</v>
      </c>
      <c r="B478">
        <v>10</v>
      </c>
      <c r="C478">
        <v>2000</v>
      </c>
      <c r="D478">
        <v>17.329999999999998</v>
      </c>
      <c r="E478">
        <v>6.11</v>
      </c>
      <c r="F478">
        <v>0.65</v>
      </c>
      <c r="G478" t="s">
        <v>673</v>
      </c>
    </row>
    <row r="479" spans="1:7" x14ac:dyDescent="0.3">
      <c r="A479" t="s">
        <v>160</v>
      </c>
      <c r="B479">
        <v>11</v>
      </c>
      <c r="C479">
        <v>2200</v>
      </c>
      <c r="D479">
        <v>15.51</v>
      </c>
      <c r="E479">
        <v>6.21</v>
      </c>
      <c r="F479">
        <v>0.64500000000000002</v>
      </c>
      <c r="G479" t="s">
        <v>674</v>
      </c>
    </row>
    <row r="480" spans="1:7" x14ac:dyDescent="0.3">
      <c r="A480" t="s">
        <v>160</v>
      </c>
      <c r="B480">
        <v>12</v>
      </c>
      <c r="C480">
        <v>2400</v>
      </c>
      <c r="D480">
        <v>13.94</v>
      </c>
      <c r="E480">
        <v>6.33</v>
      </c>
      <c r="F480">
        <v>0.61</v>
      </c>
      <c r="G480" t="s">
        <v>675</v>
      </c>
    </row>
    <row r="481" spans="1:7" x14ac:dyDescent="0.3">
      <c r="A481" t="s">
        <v>160</v>
      </c>
      <c r="B481">
        <v>13</v>
      </c>
      <c r="C481">
        <v>2600</v>
      </c>
      <c r="D481">
        <v>12.23</v>
      </c>
      <c r="E481">
        <v>6.44</v>
      </c>
      <c r="F481">
        <v>0.56799999999999995</v>
      </c>
      <c r="G481" t="s">
        <v>676</v>
      </c>
    </row>
    <row r="482" spans="1:7" x14ac:dyDescent="0.3">
      <c r="A482" t="s">
        <v>160</v>
      </c>
      <c r="B482">
        <v>14</v>
      </c>
      <c r="C482">
        <v>2745</v>
      </c>
      <c r="D482">
        <v>10.58</v>
      </c>
      <c r="E482">
        <v>6.49</v>
      </c>
      <c r="F482">
        <v>0.50900000000000001</v>
      </c>
      <c r="G482" t="s">
        <v>677</v>
      </c>
    </row>
    <row r="483" spans="1:7" x14ac:dyDescent="0.3">
      <c r="A483" t="s">
        <v>160</v>
      </c>
      <c r="B483">
        <v>15</v>
      </c>
      <c r="C483">
        <v>3000</v>
      </c>
      <c r="D483">
        <v>6.15</v>
      </c>
      <c r="E483">
        <v>6.62</v>
      </c>
      <c r="F483">
        <v>0.28999999999999998</v>
      </c>
      <c r="G483" t="s">
        <v>678</v>
      </c>
    </row>
    <row r="484" spans="1:7" x14ac:dyDescent="0.3">
      <c r="A484" t="s">
        <v>160</v>
      </c>
      <c r="B484">
        <v>16</v>
      </c>
      <c r="C484">
        <v>3200</v>
      </c>
      <c r="D484">
        <v>0</v>
      </c>
      <c r="E484">
        <v>6.9</v>
      </c>
      <c r="F484">
        <v>0</v>
      </c>
      <c r="G484" t="s">
        <v>679</v>
      </c>
    </row>
    <row r="485" spans="1:7" x14ac:dyDescent="0.3">
      <c r="A485" t="s">
        <v>162</v>
      </c>
      <c r="B485">
        <v>0</v>
      </c>
      <c r="C485">
        <v>0</v>
      </c>
      <c r="D485">
        <v>20</v>
      </c>
      <c r="E485">
        <v>3.911</v>
      </c>
      <c r="F485">
        <v>0</v>
      </c>
      <c r="G485" t="s">
        <v>680</v>
      </c>
    </row>
    <row r="486" spans="1:7" x14ac:dyDescent="0.3">
      <c r="A486" t="s">
        <v>162</v>
      </c>
      <c r="B486">
        <v>1</v>
      </c>
      <c r="C486">
        <v>500</v>
      </c>
      <c r="D486">
        <v>20.18</v>
      </c>
      <c r="E486">
        <v>4.875</v>
      </c>
      <c r="F486">
        <v>0.24</v>
      </c>
      <c r="G486" t="s">
        <v>681</v>
      </c>
    </row>
    <row r="487" spans="1:7" x14ac:dyDescent="0.3">
      <c r="A487" t="s">
        <v>162</v>
      </c>
      <c r="B487">
        <v>2</v>
      </c>
      <c r="C487">
        <v>1000</v>
      </c>
      <c r="D487">
        <v>19.670000000000002</v>
      </c>
      <c r="E487">
        <v>5.41</v>
      </c>
      <c r="F487">
        <v>0.41</v>
      </c>
      <c r="G487" t="s">
        <v>682</v>
      </c>
    </row>
    <row r="488" spans="1:7" x14ac:dyDescent="0.3">
      <c r="A488" t="s">
        <v>162</v>
      </c>
      <c r="B488">
        <v>3</v>
      </c>
      <c r="C488">
        <v>1500</v>
      </c>
      <c r="D488">
        <v>18.25</v>
      </c>
      <c r="E488">
        <v>5.78</v>
      </c>
      <c r="F488">
        <v>0.53700000000000003</v>
      </c>
      <c r="G488" t="s">
        <v>683</v>
      </c>
    </row>
    <row r="489" spans="1:7" x14ac:dyDescent="0.3">
      <c r="A489" t="s">
        <v>162</v>
      </c>
      <c r="B489">
        <v>4</v>
      </c>
      <c r="C489">
        <v>1700</v>
      </c>
      <c r="D489">
        <v>17.600000000000001</v>
      </c>
      <c r="E489">
        <v>5.8920000000000003</v>
      </c>
      <c r="F489">
        <v>0.57999999999999996</v>
      </c>
      <c r="G489" t="s">
        <v>684</v>
      </c>
    </row>
    <row r="490" spans="1:7" x14ac:dyDescent="0.3">
      <c r="A490" t="s">
        <v>162</v>
      </c>
      <c r="B490">
        <v>5</v>
      </c>
      <c r="C490">
        <v>2000</v>
      </c>
      <c r="D490">
        <v>16.510000000000002</v>
      </c>
      <c r="E490">
        <v>6.06</v>
      </c>
      <c r="F490">
        <v>0.63</v>
      </c>
      <c r="G490" t="s">
        <v>685</v>
      </c>
    </row>
    <row r="491" spans="1:7" x14ac:dyDescent="0.3">
      <c r="A491" t="s">
        <v>162</v>
      </c>
      <c r="B491">
        <v>6</v>
      </c>
      <c r="C491">
        <v>2200</v>
      </c>
      <c r="D491">
        <v>15.7</v>
      </c>
      <c r="E491">
        <v>6.16</v>
      </c>
      <c r="F491">
        <v>0.65</v>
      </c>
      <c r="G491" t="s">
        <v>686</v>
      </c>
    </row>
    <row r="492" spans="1:7" x14ac:dyDescent="0.3">
      <c r="A492" t="s">
        <v>162</v>
      </c>
      <c r="B492">
        <v>7</v>
      </c>
      <c r="C492">
        <v>2500</v>
      </c>
      <c r="D492">
        <v>14.7</v>
      </c>
      <c r="E492">
        <v>6.2880000000000003</v>
      </c>
      <c r="F492">
        <v>0.67</v>
      </c>
      <c r="G492" t="s">
        <v>687</v>
      </c>
    </row>
    <row r="493" spans="1:7" x14ac:dyDescent="0.3">
      <c r="A493" t="s">
        <v>162</v>
      </c>
      <c r="B493">
        <v>8</v>
      </c>
      <c r="C493">
        <v>2700</v>
      </c>
      <c r="D493">
        <v>13.34</v>
      </c>
      <c r="E493">
        <v>6.36</v>
      </c>
      <c r="F493">
        <v>0.65639999999999998</v>
      </c>
      <c r="G493" t="s">
        <v>688</v>
      </c>
    </row>
    <row r="494" spans="1:7" x14ac:dyDescent="0.3">
      <c r="A494" t="s">
        <v>162</v>
      </c>
      <c r="B494">
        <v>9</v>
      </c>
      <c r="C494">
        <v>3000</v>
      </c>
      <c r="D494">
        <v>11.56</v>
      </c>
      <c r="E494">
        <v>6.44</v>
      </c>
      <c r="F494">
        <v>0.61929999999999996</v>
      </c>
      <c r="G494" t="s">
        <v>689</v>
      </c>
    </row>
    <row r="495" spans="1:7" x14ac:dyDescent="0.3">
      <c r="A495" t="s">
        <v>162</v>
      </c>
      <c r="B495">
        <v>10</v>
      </c>
      <c r="C495">
        <v>3600</v>
      </c>
      <c r="D495">
        <v>7</v>
      </c>
      <c r="E495">
        <v>6.5679999999999996</v>
      </c>
      <c r="F495">
        <v>0.44</v>
      </c>
      <c r="G495" t="s">
        <v>690</v>
      </c>
    </row>
    <row r="496" spans="1:7" x14ac:dyDescent="0.3">
      <c r="A496" t="s">
        <v>162</v>
      </c>
      <c r="B496">
        <v>11</v>
      </c>
      <c r="C496">
        <v>3900</v>
      </c>
      <c r="D496">
        <v>3.55</v>
      </c>
      <c r="E496">
        <v>6.5</v>
      </c>
      <c r="F496">
        <v>0.26</v>
      </c>
      <c r="G496" t="s">
        <v>691</v>
      </c>
    </row>
    <row r="497" spans="1:7" x14ac:dyDescent="0.3">
      <c r="A497" t="s">
        <v>162</v>
      </c>
      <c r="B497">
        <v>12</v>
      </c>
      <c r="C497">
        <v>4200</v>
      </c>
      <c r="D497">
        <v>0</v>
      </c>
      <c r="E497">
        <v>6.4</v>
      </c>
      <c r="F497">
        <v>0</v>
      </c>
      <c r="G497" t="s">
        <v>692</v>
      </c>
    </row>
    <row r="498" spans="1:7" x14ac:dyDescent="0.3">
      <c r="A498" t="s">
        <v>164</v>
      </c>
      <c r="B498">
        <v>0</v>
      </c>
      <c r="C498">
        <v>0</v>
      </c>
      <c r="D498">
        <v>17.600000000000001</v>
      </c>
      <c r="E498">
        <v>3.5169999999999999</v>
      </c>
      <c r="F498">
        <v>0</v>
      </c>
      <c r="G498" t="s">
        <v>693</v>
      </c>
    </row>
    <row r="499" spans="1:7" x14ac:dyDescent="0.3">
      <c r="A499" t="s">
        <v>164</v>
      </c>
      <c r="B499">
        <v>1</v>
      </c>
      <c r="C499">
        <v>1000</v>
      </c>
      <c r="D499">
        <v>16.5</v>
      </c>
      <c r="E499">
        <v>4.6310000000000002</v>
      </c>
      <c r="F499">
        <v>0.39</v>
      </c>
      <c r="G499" t="s">
        <v>694</v>
      </c>
    </row>
    <row r="500" spans="1:7" x14ac:dyDescent="0.3">
      <c r="A500" t="s">
        <v>164</v>
      </c>
      <c r="B500">
        <v>2</v>
      </c>
      <c r="C500">
        <v>2400</v>
      </c>
      <c r="D500">
        <v>14.2</v>
      </c>
      <c r="E500">
        <v>5.9340000000000002</v>
      </c>
      <c r="F500">
        <v>0.65</v>
      </c>
      <c r="G500" t="s">
        <v>695</v>
      </c>
    </row>
    <row r="501" spans="1:7" x14ac:dyDescent="0.3">
      <c r="A501" t="s">
        <v>164</v>
      </c>
      <c r="B501">
        <v>3</v>
      </c>
      <c r="C501">
        <v>3000</v>
      </c>
      <c r="D501">
        <v>12.8</v>
      </c>
      <c r="E501">
        <v>6.226</v>
      </c>
      <c r="F501">
        <v>0.68</v>
      </c>
      <c r="G501" t="s">
        <v>696</v>
      </c>
    </row>
    <row r="502" spans="1:7" x14ac:dyDescent="0.3">
      <c r="A502" t="s">
        <v>164</v>
      </c>
      <c r="B502">
        <v>4</v>
      </c>
      <c r="C502">
        <v>3600</v>
      </c>
      <c r="D502">
        <v>9.9</v>
      </c>
      <c r="E502">
        <v>6.3929999999999998</v>
      </c>
      <c r="F502">
        <v>0.62</v>
      </c>
      <c r="G502" t="s">
        <v>697</v>
      </c>
    </row>
    <row r="503" spans="1:7" x14ac:dyDescent="0.3">
      <c r="A503" t="s">
        <v>164</v>
      </c>
      <c r="B503">
        <v>5</v>
      </c>
      <c r="C503">
        <v>4000</v>
      </c>
      <c r="D503">
        <v>6.6</v>
      </c>
      <c r="E503">
        <v>6.4859999999999998</v>
      </c>
      <c r="F503">
        <v>0.48</v>
      </c>
      <c r="G503" t="s">
        <v>698</v>
      </c>
    </row>
    <row r="504" spans="1:7" x14ac:dyDescent="0.3">
      <c r="A504" t="s">
        <v>166</v>
      </c>
      <c r="B504">
        <v>0</v>
      </c>
      <c r="C504">
        <v>0</v>
      </c>
      <c r="D504">
        <v>21.54</v>
      </c>
      <c r="E504">
        <v>1.0469999999999999</v>
      </c>
      <c r="F504">
        <v>0</v>
      </c>
      <c r="G504" t="s">
        <v>699</v>
      </c>
    </row>
    <row r="505" spans="1:7" x14ac:dyDescent="0.3">
      <c r="A505" t="s">
        <v>166</v>
      </c>
      <c r="B505">
        <v>1</v>
      </c>
      <c r="C505">
        <v>50</v>
      </c>
      <c r="D505">
        <v>21.51</v>
      </c>
      <c r="E505">
        <v>1.159</v>
      </c>
      <c r="F505">
        <v>0.09</v>
      </c>
      <c r="G505" t="s">
        <v>700</v>
      </c>
    </row>
    <row r="506" spans="1:7" x14ac:dyDescent="0.3">
      <c r="A506" t="s">
        <v>166</v>
      </c>
      <c r="B506">
        <v>2</v>
      </c>
      <c r="C506">
        <v>100</v>
      </c>
      <c r="D506">
        <v>21.77</v>
      </c>
      <c r="E506">
        <v>1.2370000000000001</v>
      </c>
      <c r="F506">
        <v>0.18</v>
      </c>
      <c r="G506" t="s">
        <v>701</v>
      </c>
    </row>
    <row r="507" spans="1:7" x14ac:dyDescent="0.3">
      <c r="A507" t="s">
        <v>166</v>
      </c>
      <c r="B507">
        <v>3</v>
      </c>
      <c r="C507">
        <v>150</v>
      </c>
      <c r="D507">
        <v>22.06</v>
      </c>
      <c r="E507">
        <v>1.2989999999999999</v>
      </c>
      <c r="F507">
        <v>0.26</v>
      </c>
      <c r="G507" t="s">
        <v>702</v>
      </c>
    </row>
    <row r="508" spans="1:7" x14ac:dyDescent="0.3">
      <c r="A508" t="s">
        <v>166</v>
      </c>
      <c r="B508">
        <v>4</v>
      </c>
      <c r="C508">
        <v>200</v>
      </c>
      <c r="D508">
        <v>22.23</v>
      </c>
      <c r="E508">
        <v>1.357</v>
      </c>
      <c r="F508">
        <v>0.34</v>
      </c>
      <c r="G508" t="s">
        <v>703</v>
      </c>
    </row>
    <row r="509" spans="1:7" x14ac:dyDescent="0.3">
      <c r="A509" t="s">
        <v>166</v>
      </c>
      <c r="B509">
        <v>5</v>
      </c>
      <c r="C509">
        <v>250</v>
      </c>
      <c r="D509">
        <v>22.21</v>
      </c>
      <c r="E509">
        <v>1.419</v>
      </c>
      <c r="F509">
        <v>0.41</v>
      </c>
      <c r="G509" t="s">
        <v>704</v>
      </c>
    </row>
    <row r="510" spans="1:7" x14ac:dyDescent="0.3">
      <c r="A510" t="s">
        <v>166</v>
      </c>
      <c r="B510">
        <v>6</v>
      </c>
      <c r="C510">
        <v>300</v>
      </c>
      <c r="D510">
        <v>21.98</v>
      </c>
      <c r="E510">
        <v>1.4850000000000001</v>
      </c>
      <c r="F510">
        <v>0.46</v>
      </c>
      <c r="G510" t="s">
        <v>705</v>
      </c>
    </row>
    <row r="511" spans="1:7" x14ac:dyDescent="0.3">
      <c r="A511" t="s">
        <v>166</v>
      </c>
      <c r="B511">
        <v>7</v>
      </c>
      <c r="C511">
        <v>350</v>
      </c>
      <c r="D511">
        <v>21.56</v>
      </c>
      <c r="E511">
        <v>1.5549999999999999</v>
      </c>
      <c r="F511">
        <v>0.51</v>
      </c>
      <c r="G511" t="s">
        <v>706</v>
      </c>
    </row>
    <row r="512" spans="1:7" x14ac:dyDescent="0.3">
      <c r="A512" t="s">
        <v>166</v>
      </c>
      <c r="B512">
        <v>8</v>
      </c>
      <c r="C512">
        <v>400</v>
      </c>
      <c r="D512">
        <v>20.94</v>
      </c>
      <c r="E512">
        <v>1.625</v>
      </c>
      <c r="F512">
        <v>0.55000000000000004</v>
      </c>
      <c r="G512" t="s">
        <v>707</v>
      </c>
    </row>
    <row r="513" spans="1:7" x14ac:dyDescent="0.3">
      <c r="A513" t="s">
        <v>166</v>
      </c>
      <c r="B513">
        <v>9</v>
      </c>
      <c r="C513">
        <v>450</v>
      </c>
      <c r="D513">
        <v>20.14</v>
      </c>
      <c r="E513">
        <v>1.69</v>
      </c>
      <c r="F513">
        <v>0.56999999999999995</v>
      </c>
      <c r="G513" t="s">
        <v>708</v>
      </c>
    </row>
    <row r="514" spans="1:7" x14ac:dyDescent="0.3">
      <c r="A514" t="s">
        <v>166</v>
      </c>
      <c r="B514">
        <v>10</v>
      </c>
      <c r="C514">
        <v>500</v>
      </c>
      <c r="D514">
        <v>19.170000000000002</v>
      </c>
      <c r="E514">
        <v>1.7470000000000001</v>
      </c>
      <c r="F514">
        <v>0.59</v>
      </c>
      <c r="G514" t="s">
        <v>709</v>
      </c>
    </row>
    <row r="515" spans="1:7" x14ac:dyDescent="0.3">
      <c r="A515" t="s">
        <v>166</v>
      </c>
      <c r="B515">
        <v>11</v>
      </c>
      <c r="C515">
        <v>550</v>
      </c>
      <c r="D515">
        <v>18.010000000000002</v>
      </c>
      <c r="E515">
        <v>1.7889999999999999</v>
      </c>
      <c r="F515">
        <v>0.6</v>
      </c>
      <c r="G515" t="s">
        <v>710</v>
      </c>
    </row>
    <row r="516" spans="1:7" x14ac:dyDescent="0.3">
      <c r="A516" t="s">
        <v>166</v>
      </c>
      <c r="B516">
        <v>12</v>
      </c>
      <c r="C516">
        <v>600</v>
      </c>
      <c r="D516">
        <v>16.63</v>
      </c>
      <c r="E516">
        <v>1.8169999999999999</v>
      </c>
      <c r="F516">
        <v>0.59</v>
      </c>
      <c r="G516" t="s">
        <v>711</v>
      </c>
    </row>
    <row r="517" spans="1:7" x14ac:dyDescent="0.3">
      <c r="A517" t="s">
        <v>166</v>
      </c>
      <c r="B517">
        <v>13</v>
      </c>
      <c r="C517">
        <v>650</v>
      </c>
      <c r="D517">
        <v>15</v>
      </c>
      <c r="E517">
        <v>1.829</v>
      </c>
      <c r="F517">
        <v>0.56999999999999995</v>
      </c>
      <c r="G517" t="s">
        <v>712</v>
      </c>
    </row>
    <row r="518" spans="1:7" x14ac:dyDescent="0.3">
      <c r="A518" t="s">
        <v>166</v>
      </c>
      <c r="B518">
        <v>14</v>
      </c>
      <c r="C518">
        <v>700</v>
      </c>
      <c r="D518">
        <v>13.08</v>
      </c>
      <c r="E518">
        <v>1.8320000000000001</v>
      </c>
      <c r="F518">
        <v>0.53</v>
      </c>
      <c r="G518" t="s">
        <v>713</v>
      </c>
    </row>
    <row r="519" spans="1:7" x14ac:dyDescent="0.3">
      <c r="A519" t="s">
        <v>166</v>
      </c>
      <c r="B519">
        <v>15</v>
      </c>
      <c r="C519">
        <v>750</v>
      </c>
      <c r="D519">
        <v>10.85</v>
      </c>
      <c r="E519">
        <v>1.835</v>
      </c>
      <c r="F519">
        <v>0.47</v>
      </c>
      <c r="G519" t="s">
        <v>714</v>
      </c>
    </row>
    <row r="520" spans="1:7" x14ac:dyDescent="0.3">
      <c r="A520" t="s">
        <v>166</v>
      </c>
      <c r="B520">
        <v>16</v>
      </c>
      <c r="C520">
        <v>800</v>
      </c>
      <c r="D520">
        <v>8.33</v>
      </c>
      <c r="E520">
        <v>1.8540000000000001</v>
      </c>
      <c r="F520">
        <v>0.39</v>
      </c>
      <c r="G520" t="s">
        <v>715</v>
      </c>
    </row>
    <row r="521" spans="1:7" x14ac:dyDescent="0.3">
      <c r="A521" t="s">
        <v>166</v>
      </c>
      <c r="B521">
        <v>17</v>
      </c>
      <c r="C521">
        <v>850</v>
      </c>
      <c r="D521">
        <v>5.59</v>
      </c>
      <c r="E521">
        <v>1.913</v>
      </c>
      <c r="F521">
        <v>0.28000000000000003</v>
      </c>
      <c r="G521" t="s">
        <v>716</v>
      </c>
    </row>
    <row r="522" spans="1:7" x14ac:dyDescent="0.3">
      <c r="A522" t="s">
        <v>166</v>
      </c>
      <c r="B522">
        <v>18</v>
      </c>
      <c r="C522">
        <v>900</v>
      </c>
      <c r="D522">
        <v>2.79</v>
      </c>
      <c r="E522">
        <v>2.0430000000000001</v>
      </c>
      <c r="F522">
        <v>0.15</v>
      </c>
      <c r="G522" t="s">
        <v>717</v>
      </c>
    </row>
    <row r="523" spans="1:7" x14ac:dyDescent="0.3">
      <c r="A523" t="s">
        <v>166</v>
      </c>
      <c r="B523">
        <v>19</v>
      </c>
      <c r="C523">
        <v>950</v>
      </c>
      <c r="D523">
        <v>0</v>
      </c>
      <c r="E523">
        <v>2.2839999999999998</v>
      </c>
      <c r="F523">
        <v>0</v>
      </c>
      <c r="G523" t="s">
        <v>718</v>
      </c>
    </row>
    <row r="524" spans="1:7" x14ac:dyDescent="0.3">
      <c r="A524" t="s">
        <v>168</v>
      </c>
      <c r="B524">
        <v>0</v>
      </c>
      <c r="C524">
        <v>0</v>
      </c>
      <c r="D524">
        <v>5.3266774119999996</v>
      </c>
      <c r="E524">
        <v>5.4970734319999999E-2</v>
      </c>
      <c r="F524">
        <v>0</v>
      </c>
      <c r="G524" t="s">
        <v>719</v>
      </c>
    </row>
    <row r="525" spans="1:7" x14ac:dyDescent="0.3">
      <c r="A525" t="s">
        <v>168</v>
      </c>
      <c r="B525">
        <v>1</v>
      </c>
      <c r="C525">
        <v>21.5</v>
      </c>
      <c r="D525">
        <v>5.4423919168317196</v>
      </c>
      <c r="E525">
        <v>6.0851790948939499E-2</v>
      </c>
      <c r="F525">
        <v>0.22341184070735201</v>
      </c>
      <c r="G525" t="s">
        <v>720</v>
      </c>
    </row>
    <row r="526" spans="1:7" x14ac:dyDescent="0.3">
      <c r="A526" t="s">
        <v>168</v>
      </c>
      <c r="B526">
        <v>2</v>
      </c>
      <c r="C526">
        <v>43</v>
      </c>
      <c r="D526">
        <v>5.3908022785561398</v>
      </c>
      <c r="E526">
        <v>7.1248603408174002E-2</v>
      </c>
      <c r="F526">
        <v>0.37129641323781598</v>
      </c>
      <c r="G526" t="s">
        <v>721</v>
      </c>
    </row>
    <row r="527" spans="1:7" x14ac:dyDescent="0.3">
      <c r="A527" t="s">
        <v>168</v>
      </c>
      <c r="B527">
        <v>3</v>
      </c>
      <c r="C527">
        <v>64.5</v>
      </c>
      <c r="D527">
        <v>5.3214392798026502</v>
      </c>
      <c r="E527">
        <v>8.2761242299794202E-2</v>
      </c>
      <c r="F527">
        <v>0.473971849350798</v>
      </c>
      <c r="G527" t="s">
        <v>722</v>
      </c>
    </row>
    <row r="528" spans="1:7" x14ac:dyDescent="0.3">
      <c r="A528" t="s">
        <v>168</v>
      </c>
      <c r="B528">
        <v>4</v>
      </c>
      <c r="C528">
        <v>86</v>
      </c>
      <c r="D528">
        <v>5.2368614273898597</v>
      </c>
      <c r="E528">
        <v>9.29162415717181E-2</v>
      </c>
      <c r="F528">
        <v>0.55390479945089499</v>
      </c>
      <c r="G528" t="s">
        <v>723</v>
      </c>
    </row>
    <row r="529" spans="1:7" x14ac:dyDescent="0.3">
      <c r="A529" t="s">
        <v>168</v>
      </c>
      <c r="B529">
        <v>5</v>
      </c>
      <c r="C529">
        <v>107.5</v>
      </c>
      <c r="D529">
        <v>5.0469309204466803</v>
      </c>
      <c r="E529">
        <v>0.100146505505131</v>
      </c>
      <c r="F529">
        <v>0.617208046121825</v>
      </c>
      <c r="G529" t="s">
        <v>724</v>
      </c>
    </row>
    <row r="530" spans="1:7" x14ac:dyDescent="0.3">
      <c r="A530" t="s">
        <v>168</v>
      </c>
      <c r="B530">
        <v>6</v>
      </c>
      <c r="C530">
        <v>129</v>
      </c>
      <c r="D530">
        <v>4.6261308149035498</v>
      </c>
      <c r="E530">
        <v>0.103806705263254</v>
      </c>
      <c r="F530">
        <v>0.65162833234865603</v>
      </c>
      <c r="G530" t="s">
        <v>725</v>
      </c>
    </row>
    <row r="531" spans="1:7" x14ac:dyDescent="0.3">
      <c r="A531" t="s">
        <v>168</v>
      </c>
      <c r="B531">
        <v>7</v>
      </c>
      <c r="C531">
        <v>150.5</v>
      </c>
      <c r="D531">
        <v>3.8714605663313</v>
      </c>
      <c r="E531">
        <v>0.10416462759869</v>
      </c>
      <c r="F531">
        <v>0.63124296722449003</v>
      </c>
      <c r="G531" t="s">
        <v>726</v>
      </c>
    </row>
    <row r="532" spans="1:7" x14ac:dyDescent="0.3">
      <c r="A532" t="s">
        <v>168</v>
      </c>
      <c r="B532">
        <v>8</v>
      </c>
      <c r="C532">
        <v>172</v>
      </c>
      <c r="D532">
        <v>2.7638565260941501</v>
      </c>
      <c r="E532">
        <v>0.10240512940588101</v>
      </c>
      <c r="F532">
        <v>0.527865082333003</v>
      </c>
      <c r="G532" t="s">
        <v>727</v>
      </c>
    </row>
    <row r="533" spans="1:7" x14ac:dyDescent="0.3">
      <c r="A533" t="s">
        <v>168</v>
      </c>
      <c r="B533">
        <v>9</v>
      </c>
      <c r="C533">
        <v>193.5</v>
      </c>
      <c r="D533">
        <v>1.4302869959351201</v>
      </c>
      <c r="E533">
        <v>0.10062952442454599</v>
      </c>
      <c r="F533">
        <v>0.32905682829469302</v>
      </c>
      <c r="G533" t="s">
        <v>728</v>
      </c>
    </row>
    <row r="534" spans="1:7" x14ac:dyDescent="0.3">
      <c r="A534" t="s">
        <v>168</v>
      </c>
      <c r="B534">
        <v>10</v>
      </c>
      <c r="C534">
        <v>215</v>
      </c>
      <c r="D534">
        <v>0</v>
      </c>
      <c r="E534">
        <v>0.10185670453727801</v>
      </c>
      <c r="F534">
        <v>0</v>
      </c>
      <c r="G534" t="s">
        <v>729</v>
      </c>
    </row>
    <row r="535" spans="1:7" x14ac:dyDescent="0.3">
      <c r="A535" t="s">
        <v>171</v>
      </c>
      <c r="B535">
        <v>0</v>
      </c>
      <c r="C535">
        <v>0</v>
      </c>
      <c r="D535">
        <v>5.7498930829999999</v>
      </c>
      <c r="E535">
        <v>0.12499232840000001</v>
      </c>
      <c r="F535">
        <v>0</v>
      </c>
      <c r="G535" t="s">
        <v>730</v>
      </c>
    </row>
    <row r="536" spans="1:7" x14ac:dyDescent="0.3">
      <c r="A536" t="s">
        <v>171</v>
      </c>
      <c r="B536">
        <v>1</v>
      </c>
      <c r="C536">
        <v>30</v>
      </c>
      <c r="D536">
        <v>5.77950532799687</v>
      </c>
      <c r="E536">
        <v>0.13790463851742599</v>
      </c>
      <c r="F536">
        <v>0.13876748085381599</v>
      </c>
      <c r="G536" t="s">
        <v>731</v>
      </c>
    </row>
    <row r="537" spans="1:7" x14ac:dyDescent="0.3">
      <c r="A537" t="s">
        <v>171</v>
      </c>
      <c r="B537">
        <v>2</v>
      </c>
      <c r="C537">
        <v>60</v>
      </c>
      <c r="D537">
        <v>5.7699731370642304</v>
      </c>
      <c r="E537">
        <v>0.15103577174833899</v>
      </c>
      <c r="F537">
        <v>0.25806517186220501</v>
      </c>
      <c r="G537" t="s">
        <v>732</v>
      </c>
    </row>
    <row r="538" spans="1:7" x14ac:dyDescent="0.3">
      <c r="A538" t="s">
        <v>171</v>
      </c>
      <c r="B538">
        <v>3</v>
      </c>
      <c r="C538">
        <v>90</v>
      </c>
      <c r="D538">
        <v>5.7110046942918</v>
      </c>
      <c r="E538">
        <v>0.16670043544887</v>
      </c>
      <c r="F538">
        <v>0.35073941286903698</v>
      </c>
      <c r="G538" t="s">
        <v>733</v>
      </c>
    </row>
    <row r="539" spans="1:7" x14ac:dyDescent="0.3">
      <c r="A539" t="s">
        <v>171</v>
      </c>
      <c r="B539">
        <v>4</v>
      </c>
      <c r="C539">
        <v>120</v>
      </c>
      <c r="D539">
        <v>5.5837150326468796</v>
      </c>
      <c r="E539">
        <v>0.18218781766174599</v>
      </c>
      <c r="F539">
        <v>0.41906083379925901</v>
      </c>
      <c r="G539" t="s">
        <v>734</v>
      </c>
    </row>
    <row r="540" spans="1:7" x14ac:dyDescent="0.3">
      <c r="A540" t="s">
        <v>171</v>
      </c>
      <c r="B540">
        <v>5</v>
      </c>
      <c r="C540">
        <v>150</v>
      </c>
      <c r="D540">
        <v>5.3636947885120803</v>
      </c>
      <c r="E540">
        <v>0.194227692780476</v>
      </c>
      <c r="F540">
        <v>0.46981442456743699</v>
      </c>
      <c r="G540" t="s">
        <v>735</v>
      </c>
    </row>
    <row r="541" spans="1:7" x14ac:dyDescent="0.3">
      <c r="A541" t="s">
        <v>171</v>
      </c>
      <c r="B541">
        <v>6</v>
      </c>
      <c r="C541">
        <v>180</v>
      </c>
      <c r="D541">
        <v>5.0144682995872696</v>
      </c>
      <c r="E541">
        <v>0.201197527439336</v>
      </c>
      <c r="F541">
        <v>0.507530717683918</v>
      </c>
      <c r="G541" t="s">
        <v>736</v>
      </c>
    </row>
    <row r="542" spans="1:7" x14ac:dyDescent="0.3">
      <c r="A542" t="s">
        <v>171</v>
      </c>
      <c r="B542">
        <v>7</v>
      </c>
      <c r="C542">
        <v>210</v>
      </c>
      <c r="D542">
        <v>4.47134098539797</v>
      </c>
      <c r="E542">
        <v>0.20310714411309</v>
      </c>
      <c r="F542">
        <v>0.52580479799658097</v>
      </c>
      <c r="G542" t="s">
        <v>737</v>
      </c>
    </row>
    <row r="543" spans="1:7" x14ac:dyDescent="0.3">
      <c r="A543" t="s">
        <v>171</v>
      </c>
      <c r="B543">
        <v>8</v>
      </c>
      <c r="C543">
        <v>240</v>
      </c>
      <c r="D543">
        <v>3.6156360630475302</v>
      </c>
      <c r="E543">
        <v>0.19933895377965699</v>
      </c>
      <c r="F543">
        <v>0.49670259030278502</v>
      </c>
      <c r="G543" t="s">
        <v>738</v>
      </c>
    </row>
    <row r="544" spans="1:7" x14ac:dyDescent="0.3">
      <c r="A544" t="s">
        <v>171</v>
      </c>
      <c r="B544">
        <v>9</v>
      </c>
      <c r="C544">
        <v>270</v>
      </c>
      <c r="D544">
        <v>2.23932035760259</v>
      </c>
      <c r="E544">
        <v>0.184151511016692</v>
      </c>
      <c r="F544">
        <v>0.35825373429073398</v>
      </c>
      <c r="G544" t="s">
        <v>739</v>
      </c>
    </row>
    <row r="545" spans="1:7" x14ac:dyDescent="0.3">
      <c r="A545" t="s">
        <v>171</v>
      </c>
      <c r="B545">
        <v>10</v>
      </c>
      <c r="C545">
        <v>300</v>
      </c>
      <c r="D545">
        <v>0</v>
      </c>
      <c r="E545">
        <v>0.139944526987998</v>
      </c>
      <c r="F545">
        <v>0</v>
      </c>
      <c r="G545" t="s">
        <v>740</v>
      </c>
    </row>
    <row r="546" spans="1:7" x14ac:dyDescent="0.3">
      <c r="A546" t="s">
        <v>173</v>
      </c>
      <c r="B546">
        <v>0</v>
      </c>
      <c r="C546">
        <v>0</v>
      </c>
      <c r="D546">
        <v>5.9361764709999996</v>
      </c>
      <c r="E546">
        <v>0.16450795090000001</v>
      </c>
      <c r="F546">
        <v>0</v>
      </c>
      <c r="G546" t="s">
        <v>741</v>
      </c>
    </row>
    <row r="547" spans="1:7" x14ac:dyDescent="0.3">
      <c r="A547" t="s">
        <v>173</v>
      </c>
      <c r="B547">
        <v>1</v>
      </c>
      <c r="C547">
        <v>50</v>
      </c>
      <c r="D547">
        <v>5.7628761625597402</v>
      </c>
      <c r="E547">
        <v>0.16381763673750099</v>
      </c>
      <c r="F547">
        <v>0.201800972273315</v>
      </c>
      <c r="G547" t="s">
        <v>742</v>
      </c>
    </row>
    <row r="548" spans="1:7" x14ac:dyDescent="0.3">
      <c r="A548" t="s">
        <v>173</v>
      </c>
      <c r="B548">
        <v>2</v>
      </c>
      <c r="C548">
        <v>100</v>
      </c>
      <c r="D548">
        <v>5.4755452928932202</v>
      </c>
      <c r="E548">
        <v>0.167838006349906</v>
      </c>
      <c r="F548">
        <v>0.36954764818996799</v>
      </c>
      <c r="G548" t="s">
        <v>743</v>
      </c>
    </row>
    <row r="549" spans="1:7" x14ac:dyDescent="0.3">
      <c r="A549" t="s">
        <v>173</v>
      </c>
      <c r="B549">
        <v>3</v>
      </c>
      <c r="C549">
        <v>150</v>
      </c>
      <c r="D549">
        <v>5.1278798915973303</v>
      </c>
      <c r="E549">
        <v>0.175500854243965</v>
      </c>
      <c r="F549">
        <v>0.49534508898955198</v>
      </c>
      <c r="G549" t="s">
        <v>744</v>
      </c>
    </row>
    <row r="550" spans="1:7" x14ac:dyDescent="0.3">
      <c r="A550" t="s">
        <v>173</v>
      </c>
      <c r="B550">
        <v>4</v>
      </c>
      <c r="C550">
        <v>200</v>
      </c>
      <c r="D550">
        <v>4.7645678596837504</v>
      </c>
      <c r="E550">
        <v>0.18559652544240801</v>
      </c>
      <c r="F550">
        <v>0.58239723746454097</v>
      </c>
      <c r="G550" t="s">
        <v>745</v>
      </c>
    </row>
    <row r="551" spans="1:7" x14ac:dyDescent="0.3">
      <c r="A551" t="s">
        <v>173</v>
      </c>
      <c r="B551">
        <v>5</v>
      </c>
      <c r="C551">
        <v>250</v>
      </c>
      <c r="D551">
        <v>4.4070656679505298</v>
      </c>
      <c r="E551">
        <v>0.196773583760666</v>
      </c>
      <c r="F551">
        <v>0.63743549612153505</v>
      </c>
      <c r="G551" t="s">
        <v>746</v>
      </c>
    </row>
    <row r="552" spans="1:7" x14ac:dyDescent="0.3">
      <c r="A552" t="s">
        <v>173</v>
      </c>
      <c r="B552">
        <v>6</v>
      </c>
      <c r="C552">
        <v>300</v>
      </c>
      <c r="D552">
        <v>4.0394557255784704</v>
      </c>
      <c r="E552">
        <v>0.207540477510332</v>
      </c>
      <c r="F552">
        <v>0.66455118964488002</v>
      </c>
      <c r="G552" t="s">
        <v>747</v>
      </c>
    </row>
    <row r="553" spans="1:7" x14ac:dyDescent="0.3">
      <c r="A553" t="s">
        <v>173</v>
      </c>
      <c r="B553">
        <v>7</v>
      </c>
      <c r="C553">
        <v>350</v>
      </c>
      <c r="D553">
        <v>3.5941188122386101</v>
      </c>
      <c r="E553">
        <v>0.21626220265422499</v>
      </c>
      <c r="F553">
        <v>0.65902817826664395</v>
      </c>
      <c r="G553" t="s">
        <v>748</v>
      </c>
    </row>
    <row r="554" spans="1:7" x14ac:dyDescent="0.3">
      <c r="A554" t="s">
        <v>173</v>
      </c>
      <c r="B554">
        <v>8</v>
      </c>
      <c r="C554">
        <v>400</v>
      </c>
      <c r="D554">
        <v>2.9376463654525602</v>
      </c>
      <c r="E554">
        <v>0.22116364248061801</v>
      </c>
      <c r="F554">
        <v>0.60117551849641604</v>
      </c>
      <c r="G554" t="s">
        <v>749</v>
      </c>
    </row>
    <row r="555" spans="1:7" x14ac:dyDescent="0.3">
      <c r="A555" t="s">
        <v>173</v>
      </c>
      <c r="B555">
        <v>9</v>
      </c>
      <c r="C555">
        <v>450</v>
      </c>
      <c r="D555">
        <v>1.8565744915970901</v>
      </c>
      <c r="E555">
        <v>0.22032789707165401</v>
      </c>
      <c r="F555">
        <v>0.45015984717538798</v>
      </c>
      <c r="G555" t="s">
        <v>750</v>
      </c>
    </row>
    <row r="556" spans="1:7" x14ac:dyDescent="0.3">
      <c r="A556" t="s">
        <v>173</v>
      </c>
      <c r="B556">
        <v>10</v>
      </c>
      <c r="C556">
        <v>500</v>
      </c>
      <c r="D556">
        <v>0</v>
      </c>
      <c r="E556">
        <v>0.21169661736750001</v>
      </c>
      <c r="F556">
        <v>0</v>
      </c>
      <c r="G556" t="s">
        <v>751</v>
      </c>
    </row>
    <row r="557" spans="1:7" x14ac:dyDescent="0.3">
      <c r="A557" t="s">
        <v>175</v>
      </c>
      <c r="B557">
        <v>0</v>
      </c>
      <c r="C557">
        <v>0</v>
      </c>
      <c r="D557">
        <v>5.9859841749999996</v>
      </c>
      <c r="E557">
        <v>0.2136055392</v>
      </c>
      <c r="F557">
        <v>0</v>
      </c>
      <c r="G557" t="s">
        <v>752</v>
      </c>
    </row>
    <row r="558" spans="1:7" x14ac:dyDescent="0.3">
      <c r="A558" t="s">
        <v>175</v>
      </c>
      <c r="B558">
        <v>1</v>
      </c>
      <c r="C558">
        <v>70</v>
      </c>
      <c r="D558">
        <v>5.5904902086747397</v>
      </c>
      <c r="E558">
        <v>0.20630937159680701</v>
      </c>
      <c r="F558">
        <v>0.21318982544725801</v>
      </c>
      <c r="G558" t="s">
        <v>753</v>
      </c>
    </row>
    <row r="559" spans="1:7" x14ac:dyDescent="0.3">
      <c r="A559" t="s">
        <v>175</v>
      </c>
      <c r="B559">
        <v>2</v>
      </c>
      <c r="C559">
        <v>140</v>
      </c>
      <c r="D559">
        <v>5.0350741866876403</v>
      </c>
      <c r="E559">
        <v>0.21082631601207499</v>
      </c>
      <c r="F559">
        <v>0.37435902843492302</v>
      </c>
      <c r="G559" t="s">
        <v>754</v>
      </c>
    </row>
    <row r="560" spans="1:7" x14ac:dyDescent="0.3">
      <c r="A560" t="s">
        <v>175</v>
      </c>
      <c r="B560">
        <v>3</v>
      </c>
      <c r="C560">
        <v>210</v>
      </c>
      <c r="D560">
        <v>4.6468579757070101</v>
      </c>
      <c r="E560">
        <v>0.22465396217434899</v>
      </c>
      <c r="F560">
        <v>0.49879606802470799</v>
      </c>
      <c r="G560" t="s">
        <v>755</v>
      </c>
    </row>
    <row r="561" spans="1:7" x14ac:dyDescent="0.3">
      <c r="A561" t="s">
        <v>175</v>
      </c>
      <c r="B561">
        <v>4</v>
      </c>
      <c r="C561">
        <v>280</v>
      </c>
      <c r="D561">
        <v>4.4529664931627604</v>
      </c>
      <c r="E561">
        <v>0.24435309888767101</v>
      </c>
      <c r="F561">
        <v>0.59076493144408604</v>
      </c>
      <c r="G561" t="s">
        <v>756</v>
      </c>
    </row>
    <row r="562" spans="1:7" x14ac:dyDescent="0.3">
      <c r="A562" t="s">
        <v>175</v>
      </c>
      <c r="B562">
        <v>5</v>
      </c>
      <c r="C562">
        <v>350</v>
      </c>
      <c r="D562">
        <v>4.2948119080589198</v>
      </c>
      <c r="E562">
        <v>0.26554784349527999</v>
      </c>
      <c r="F562">
        <v>0.64624941755387599</v>
      </c>
      <c r="G562" t="s">
        <v>757</v>
      </c>
    </row>
    <row r="563" spans="1:7" x14ac:dyDescent="0.3">
      <c r="A563" t="s">
        <v>175</v>
      </c>
      <c r="B563">
        <v>6</v>
      </c>
      <c r="C563">
        <v>420</v>
      </c>
      <c r="D563">
        <v>3.9440965670541699</v>
      </c>
      <c r="E563">
        <v>0.28292536969326998</v>
      </c>
      <c r="F563">
        <v>0.65568495404405502</v>
      </c>
      <c r="G563" t="s">
        <v>758</v>
      </c>
    </row>
    <row r="564" spans="1:7" x14ac:dyDescent="0.3">
      <c r="A564" t="s">
        <v>175</v>
      </c>
      <c r="B564">
        <v>7</v>
      </c>
      <c r="C564">
        <v>490</v>
      </c>
      <c r="D564">
        <v>3.2166259100881698</v>
      </c>
      <c r="E564">
        <v>0.29023618455854999</v>
      </c>
      <c r="F564">
        <v>0.60669045550979295</v>
      </c>
      <c r="G564" t="s">
        <v>759</v>
      </c>
    </row>
    <row r="565" spans="1:7" x14ac:dyDescent="0.3">
      <c r="A565" t="s">
        <v>175</v>
      </c>
      <c r="B565">
        <v>8</v>
      </c>
      <c r="C565">
        <v>560</v>
      </c>
      <c r="D565">
        <v>2.08774813702269</v>
      </c>
      <c r="E565">
        <v>0.28029399296920698</v>
      </c>
      <c r="F565">
        <v>0.48680020819713399</v>
      </c>
      <c r="G565" t="s">
        <v>760</v>
      </c>
    </row>
    <row r="566" spans="1:7" x14ac:dyDescent="0.3">
      <c r="A566" t="s">
        <v>175</v>
      </c>
      <c r="B566">
        <v>9</v>
      </c>
      <c r="C566">
        <v>630</v>
      </c>
      <c r="D566">
        <v>0.80716515101407205</v>
      </c>
      <c r="E566">
        <v>0.24497572080277999</v>
      </c>
      <c r="F566">
        <v>0.286195748700381</v>
      </c>
      <c r="G566" t="s">
        <v>761</v>
      </c>
    </row>
    <row r="567" spans="1:7" x14ac:dyDescent="0.3">
      <c r="A567" t="s">
        <v>175</v>
      </c>
      <c r="B567">
        <v>10</v>
      </c>
      <c r="C567">
        <v>700</v>
      </c>
      <c r="D567">
        <v>0</v>
      </c>
      <c r="E567">
        <v>0.1752215164831</v>
      </c>
      <c r="F567">
        <v>0</v>
      </c>
      <c r="G567" t="s">
        <v>762</v>
      </c>
    </row>
    <row r="568" spans="1:7" x14ac:dyDescent="0.3">
      <c r="A568" t="s">
        <v>177</v>
      </c>
      <c r="B568">
        <v>0</v>
      </c>
      <c r="C568">
        <v>0</v>
      </c>
      <c r="D568">
        <v>8.3927395929999999</v>
      </c>
      <c r="E568">
        <v>0.1061379239</v>
      </c>
      <c r="F568">
        <v>0</v>
      </c>
      <c r="G568" t="s">
        <v>763</v>
      </c>
    </row>
    <row r="569" spans="1:7" x14ac:dyDescent="0.3">
      <c r="A569" t="s">
        <v>177</v>
      </c>
      <c r="B569">
        <v>1</v>
      </c>
      <c r="C569">
        <v>18.5</v>
      </c>
      <c r="D569">
        <v>8.5722069290793605</v>
      </c>
      <c r="E569">
        <v>0.113847808817198</v>
      </c>
      <c r="F569">
        <v>0.158591178380838</v>
      </c>
      <c r="G569" t="s">
        <v>764</v>
      </c>
    </row>
    <row r="570" spans="1:7" x14ac:dyDescent="0.3">
      <c r="A570" t="s">
        <v>177</v>
      </c>
      <c r="B570">
        <v>2</v>
      </c>
      <c r="C570">
        <v>37</v>
      </c>
      <c r="D570">
        <v>8.6801812279521506</v>
      </c>
      <c r="E570">
        <v>0.12062753178492799</v>
      </c>
      <c r="F570">
        <v>0.30169261270292103</v>
      </c>
      <c r="G570" t="s">
        <v>765</v>
      </c>
    </row>
    <row r="571" spans="1:7" x14ac:dyDescent="0.3">
      <c r="A571" t="s">
        <v>177</v>
      </c>
      <c r="B571">
        <v>3</v>
      </c>
      <c r="C571">
        <v>55.5</v>
      </c>
      <c r="D571">
        <v>8.5872617323178098</v>
      </c>
      <c r="E571">
        <v>0.127201335312284</v>
      </c>
      <c r="F571">
        <v>0.42324710910542301</v>
      </c>
      <c r="G571" t="s">
        <v>766</v>
      </c>
    </row>
    <row r="572" spans="1:7" x14ac:dyDescent="0.3">
      <c r="A572" t="s">
        <v>177</v>
      </c>
      <c r="B572">
        <v>4</v>
      </c>
      <c r="C572">
        <v>74</v>
      </c>
      <c r="D572">
        <v>8.2590920916768606</v>
      </c>
      <c r="E572">
        <v>0.134117164670945</v>
      </c>
      <c r="F572">
        <v>0.51573777387544995</v>
      </c>
      <c r="G572" t="s">
        <v>767</v>
      </c>
    </row>
    <row r="573" spans="1:7" x14ac:dyDescent="0.3">
      <c r="A573" t="s">
        <v>177</v>
      </c>
      <c r="B573">
        <v>5</v>
      </c>
      <c r="C573">
        <v>92.5</v>
      </c>
      <c r="D573">
        <v>7.6984262980788802</v>
      </c>
      <c r="E573">
        <v>0.14174673533514701</v>
      </c>
      <c r="F573">
        <v>0.57135414957708497</v>
      </c>
      <c r="G573" t="s">
        <v>768</v>
      </c>
    </row>
    <row r="574" spans="1:7" x14ac:dyDescent="0.3">
      <c r="A574" t="s">
        <v>177</v>
      </c>
      <c r="B574">
        <v>6</v>
      </c>
      <c r="C574">
        <v>111</v>
      </c>
      <c r="D574">
        <v>6.90235705667377</v>
      </c>
      <c r="E574">
        <v>0.150285494000195</v>
      </c>
      <c r="F574">
        <v>0.581992215128188</v>
      </c>
      <c r="G574" t="s">
        <v>769</v>
      </c>
    </row>
    <row r="575" spans="1:7" x14ac:dyDescent="0.3">
      <c r="A575" t="s">
        <v>177</v>
      </c>
      <c r="B575">
        <v>7</v>
      </c>
      <c r="C575">
        <v>129.5</v>
      </c>
      <c r="D575">
        <v>5.8346886172029597</v>
      </c>
      <c r="E575">
        <v>0.15975262818193101</v>
      </c>
      <c r="F575">
        <v>0.53925438582017504</v>
      </c>
      <c r="G575" t="s">
        <v>770</v>
      </c>
    </row>
    <row r="576" spans="1:7" x14ac:dyDescent="0.3">
      <c r="A576" t="s">
        <v>177</v>
      </c>
      <c r="B576">
        <v>8</v>
      </c>
      <c r="C576">
        <v>148</v>
      </c>
      <c r="D576">
        <v>4.4134553038576598</v>
      </c>
      <c r="E576">
        <v>0.16999106615720799</v>
      </c>
      <c r="F576">
        <v>0.43444951332474502</v>
      </c>
      <c r="G576" t="s">
        <v>771</v>
      </c>
    </row>
    <row r="577" spans="1:7" x14ac:dyDescent="0.3">
      <c r="A577" t="s">
        <v>177</v>
      </c>
      <c r="B577">
        <v>9</v>
      </c>
      <c r="C577">
        <v>166.5</v>
      </c>
      <c r="D577">
        <v>2.5135859236059601</v>
      </c>
      <c r="E577">
        <v>0.180667300669453</v>
      </c>
      <c r="F577">
        <v>0.25859288569663902</v>
      </c>
      <c r="G577" t="s">
        <v>772</v>
      </c>
    </row>
    <row r="578" spans="1:7" x14ac:dyDescent="0.3">
      <c r="A578" t="s">
        <v>177</v>
      </c>
      <c r="B578">
        <v>10</v>
      </c>
      <c r="C578">
        <v>185</v>
      </c>
      <c r="D578">
        <v>0</v>
      </c>
      <c r="E578">
        <v>0.19127226344460499</v>
      </c>
      <c r="F578">
        <v>0</v>
      </c>
      <c r="G578" t="s">
        <v>773</v>
      </c>
    </row>
    <row r="579" spans="1:7" x14ac:dyDescent="0.3">
      <c r="A579" t="s">
        <v>179</v>
      </c>
      <c r="B579">
        <v>0</v>
      </c>
      <c r="C579">
        <v>0</v>
      </c>
      <c r="D579">
        <v>6.610528854</v>
      </c>
      <c r="E579">
        <v>0.149076087</v>
      </c>
      <c r="F579">
        <v>0</v>
      </c>
      <c r="G579" t="s">
        <v>774</v>
      </c>
    </row>
    <row r="580" spans="1:7" x14ac:dyDescent="0.3">
      <c r="A580" t="s">
        <v>179</v>
      </c>
      <c r="B580">
        <v>1</v>
      </c>
      <c r="C580">
        <v>40.5</v>
      </c>
      <c r="D580">
        <v>6.4218466909632701</v>
      </c>
      <c r="E580">
        <v>0.17780032173554999</v>
      </c>
      <c r="F580">
        <v>0.168714798743482</v>
      </c>
      <c r="G580" t="s">
        <v>775</v>
      </c>
    </row>
    <row r="581" spans="1:7" x14ac:dyDescent="0.3">
      <c r="A581" t="s">
        <v>179</v>
      </c>
      <c r="B581">
        <v>2</v>
      </c>
      <c r="C581">
        <v>81</v>
      </c>
      <c r="D581">
        <v>6.2517661113853604</v>
      </c>
      <c r="E581">
        <v>0.21026846369171301</v>
      </c>
      <c r="F581">
        <v>0.27156967875297999</v>
      </c>
      <c r="G581" t="s">
        <v>776</v>
      </c>
    </row>
    <row r="582" spans="1:7" x14ac:dyDescent="0.3">
      <c r="A582" t="s">
        <v>179</v>
      </c>
      <c r="B582">
        <v>3</v>
      </c>
      <c r="C582">
        <v>121.5</v>
      </c>
      <c r="D582">
        <v>6.3676764799256098</v>
      </c>
      <c r="E582">
        <v>0.24621705924456599</v>
      </c>
      <c r="F582">
        <v>0.35536983255044402</v>
      </c>
      <c r="G582" t="s">
        <v>777</v>
      </c>
    </row>
    <row r="583" spans="1:7" x14ac:dyDescent="0.3">
      <c r="A583" t="s">
        <v>179</v>
      </c>
      <c r="B583">
        <v>4</v>
      </c>
      <c r="C583">
        <v>162</v>
      </c>
      <c r="D583">
        <v>6.5486884185084504</v>
      </c>
      <c r="E583">
        <v>0.28482949839241201</v>
      </c>
      <c r="F583">
        <v>0.422334245738758</v>
      </c>
      <c r="G583" t="s">
        <v>778</v>
      </c>
    </row>
    <row r="584" spans="1:7" x14ac:dyDescent="0.3">
      <c r="A584" t="s">
        <v>179</v>
      </c>
      <c r="B584">
        <v>5</v>
      </c>
      <c r="C584">
        <v>202.5</v>
      </c>
      <c r="D584">
        <v>6.4862819857652196</v>
      </c>
      <c r="E584">
        <v>0.32473571739031298</v>
      </c>
      <c r="F584">
        <v>0.459183419122773</v>
      </c>
      <c r="G584" t="s">
        <v>779</v>
      </c>
    </row>
    <row r="585" spans="1:7" x14ac:dyDescent="0.3">
      <c r="A585" t="s">
        <v>179</v>
      </c>
      <c r="B585">
        <v>6</v>
      </c>
      <c r="C585">
        <v>243</v>
      </c>
      <c r="D585">
        <v>6.0123433732615501</v>
      </c>
      <c r="E585">
        <v>0.364013716869723</v>
      </c>
      <c r="F585">
        <v>0.45663662868014399</v>
      </c>
      <c r="G585" t="s">
        <v>780</v>
      </c>
    </row>
    <row r="586" spans="1:7" x14ac:dyDescent="0.3">
      <c r="A586" t="s">
        <v>179</v>
      </c>
      <c r="B586">
        <v>7</v>
      </c>
      <c r="C586">
        <v>283.5</v>
      </c>
      <c r="D586">
        <v>5.1582575038089704</v>
      </c>
      <c r="E586">
        <v>0.40018650265148198</v>
      </c>
      <c r="F586">
        <v>0.41627738225571898</v>
      </c>
      <c r="G586" t="s">
        <v>781</v>
      </c>
    </row>
    <row r="587" spans="1:7" x14ac:dyDescent="0.3">
      <c r="A587" t="s">
        <v>179</v>
      </c>
      <c r="B587">
        <v>8</v>
      </c>
      <c r="C587">
        <v>324</v>
      </c>
      <c r="D587">
        <v>4.0427132621920299</v>
      </c>
      <c r="E587">
        <v>0.43022515716134802</v>
      </c>
      <c r="F587">
        <v>0.34478321944809798</v>
      </c>
      <c r="G587" t="s">
        <v>782</v>
      </c>
    </row>
    <row r="588" spans="1:7" x14ac:dyDescent="0.3">
      <c r="A588" t="s">
        <v>179</v>
      </c>
      <c r="B588">
        <v>9</v>
      </c>
      <c r="C588">
        <v>364.5</v>
      </c>
      <c r="D588">
        <v>2.5890533476511499</v>
      </c>
      <c r="E588">
        <v>0.45054730055959902</v>
      </c>
      <c r="F588">
        <v>0.235522360097314</v>
      </c>
      <c r="G588" t="s">
        <v>783</v>
      </c>
    </row>
    <row r="589" spans="1:7" x14ac:dyDescent="0.3">
      <c r="A589" t="s">
        <v>179</v>
      </c>
      <c r="B589">
        <v>10</v>
      </c>
      <c r="C589">
        <v>405</v>
      </c>
      <c r="D589">
        <v>0</v>
      </c>
      <c r="E589">
        <v>0.45701739846557099</v>
      </c>
      <c r="F589">
        <v>0</v>
      </c>
      <c r="G589" t="s">
        <v>784</v>
      </c>
    </row>
    <row r="590" spans="1:7" x14ac:dyDescent="0.3">
      <c r="A590" t="s">
        <v>181</v>
      </c>
      <c r="B590">
        <v>0</v>
      </c>
      <c r="C590">
        <v>0</v>
      </c>
      <c r="D590">
        <v>7.5681751740000003</v>
      </c>
      <c r="E590">
        <v>0.19758204330000001</v>
      </c>
      <c r="F590">
        <v>0</v>
      </c>
      <c r="G590" t="s">
        <v>785</v>
      </c>
    </row>
    <row r="591" spans="1:7" x14ac:dyDescent="0.3">
      <c r="A591" t="s">
        <v>181</v>
      </c>
      <c r="B591">
        <v>1</v>
      </c>
      <c r="C591">
        <v>54</v>
      </c>
      <c r="D591">
        <v>7.2430122718256902</v>
      </c>
      <c r="E591">
        <v>0.19609852837029901</v>
      </c>
      <c r="F591">
        <v>0.22385708706768201</v>
      </c>
      <c r="G591" t="s">
        <v>786</v>
      </c>
    </row>
    <row r="592" spans="1:7" x14ac:dyDescent="0.3">
      <c r="A592" t="s">
        <v>181</v>
      </c>
      <c r="B592">
        <v>2</v>
      </c>
      <c r="C592">
        <v>108</v>
      </c>
      <c r="D592">
        <v>6.6824626891496397</v>
      </c>
      <c r="E592">
        <v>0.19958983841667099</v>
      </c>
      <c r="F592">
        <v>0.41321063452260698</v>
      </c>
      <c r="G592" t="s">
        <v>787</v>
      </c>
    </row>
    <row r="593" spans="1:7" x14ac:dyDescent="0.3">
      <c r="A593" t="s">
        <v>181</v>
      </c>
      <c r="B593">
        <v>3</v>
      </c>
      <c r="C593">
        <v>162</v>
      </c>
      <c r="D593">
        <v>6.1296205190067798</v>
      </c>
      <c r="E593">
        <v>0.205859671857405</v>
      </c>
      <c r="F593">
        <v>0.55120635507038696</v>
      </c>
      <c r="G593" t="s">
        <v>788</v>
      </c>
    </row>
    <row r="594" spans="1:7" x14ac:dyDescent="0.3">
      <c r="A594" t="s">
        <v>181</v>
      </c>
      <c r="B594">
        <v>4</v>
      </c>
      <c r="C594">
        <v>216</v>
      </c>
      <c r="D594">
        <v>5.5621334055632197</v>
      </c>
      <c r="E594">
        <v>0.21265559991984201</v>
      </c>
      <c r="F594">
        <v>0.63883234052041904</v>
      </c>
      <c r="G594" t="s">
        <v>789</v>
      </c>
    </row>
    <row r="595" spans="1:7" x14ac:dyDescent="0.3">
      <c r="A595" t="s">
        <v>181</v>
      </c>
      <c r="B595">
        <v>5</v>
      </c>
      <c r="C595">
        <v>270</v>
      </c>
      <c r="D595">
        <v>4.90605851965522</v>
      </c>
      <c r="E595">
        <v>0.21767328292735899</v>
      </c>
      <c r="F595">
        <v>0.68580068498536695</v>
      </c>
      <c r="G595" t="s">
        <v>790</v>
      </c>
    </row>
    <row r="596" spans="1:7" x14ac:dyDescent="0.3">
      <c r="A596" t="s">
        <v>181</v>
      </c>
      <c r="B596">
        <v>6</v>
      </c>
      <c r="C596">
        <v>324</v>
      </c>
      <c r="D596">
        <v>4.1497989261301802</v>
      </c>
      <c r="E596">
        <v>0.21855225597432701</v>
      </c>
      <c r="F596">
        <v>0.70060311069805503</v>
      </c>
      <c r="G596" t="s">
        <v>791</v>
      </c>
    </row>
    <row r="597" spans="1:7" x14ac:dyDescent="0.3">
      <c r="A597" t="s">
        <v>181</v>
      </c>
      <c r="B597">
        <v>7</v>
      </c>
      <c r="C597">
        <v>378</v>
      </c>
      <c r="D597">
        <v>3.3572738848287602</v>
      </c>
      <c r="E597">
        <v>0.21287803508943501</v>
      </c>
      <c r="F597">
        <v>0.68056675197848604</v>
      </c>
      <c r="G597" t="s">
        <v>792</v>
      </c>
    </row>
    <row r="598" spans="1:7" x14ac:dyDescent="0.3">
      <c r="A598" t="s">
        <v>181</v>
      </c>
      <c r="B598">
        <v>8</v>
      </c>
      <c r="C598">
        <v>432</v>
      </c>
      <c r="D598">
        <v>2.5807346929846799</v>
      </c>
      <c r="E598">
        <v>0.19818169626153101</v>
      </c>
      <c r="F598">
        <v>0.60191025459721603</v>
      </c>
      <c r="G598" t="s">
        <v>793</v>
      </c>
    </row>
    <row r="599" spans="1:7" x14ac:dyDescent="0.3">
      <c r="A599" t="s">
        <v>181</v>
      </c>
      <c r="B599">
        <v>9</v>
      </c>
      <c r="C599">
        <v>486</v>
      </c>
      <c r="D599">
        <v>1.6731626484869599</v>
      </c>
      <c r="E599">
        <v>0.171939875425526</v>
      </c>
      <c r="F599">
        <v>0.409799139138948</v>
      </c>
      <c r="G599" t="s">
        <v>794</v>
      </c>
    </row>
    <row r="600" spans="1:7" x14ac:dyDescent="0.3">
      <c r="A600" t="s">
        <v>181</v>
      </c>
      <c r="B600">
        <v>10</v>
      </c>
      <c r="C600">
        <v>540</v>
      </c>
      <c r="D600">
        <v>0</v>
      </c>
      <c r="E600">
        <v>0.131574768456306</v>
      </c>
      <c r="F600">
        <v>0</v>
      </c>
      <c r="G600" t="s">
        <v>795</v>
      </c>
    </row>
    <row r="601" spans="1:7" x14ac:dyDescent="0.3">
      <c r="A601" t="s">
        <v>183</v>
      </c>
      <c r="B601">
        <v>0</v>
      </c>
      <c r="C601">
        <v>0</v>
      </c>
      <c r="D601">
        <v>7.1882911409999997</v>
      </c>
      <c r="E601">
        <v>0.2590423429</v>
      </c>
      <c r="F601">
        <v>0</v>
      </c>
      <c r="G601" t="s">
        <v>796</v>
      </c>
    </row>
    <row r="602" spans="1:7" x14ac:dyDescent="0.3">
      <c r="A602" t="s">
        <v>183</v>
      </c>
      <c r="B602">
        <v>1</v>
      </c>
      <c r="C602">
        <v>63.4</v>
      </c>
      <c r="D602">
        <v>7.697279481602</v>
      </c>
      <c r="E602">
        <v>0.28262747815608602</v>
      </c>
      <c r="F602">
        <v>0.19177324586022501</v>
      </c>
      <c r="G602" t="s">
        <v>797</v>
      </c>
    </row>
    <row r="603" spans="1:7" x14ac:dyDescent="0.3">
      <c r="A603" t="s">
        <v>183</v>
      </c>
      <c r="B603">
        <v>2</v>
      </c>
      <c r="C603">
        <v>126.8</v>
      </c>
      <c r="D603">
        <v>7.2888887705995797</v>
      </c>
      <c r="E603">
        <v>0.31838189889698698</v>
      </c>
      <c r="F603">
        <v>0.33067631094038102</v>
      </c>
      <c r="G603" t="s">
        <v>798</v>
      </c>
    </row>
    <row r="604" spans="1:7" x14ac:dyDescent="0.3">
      <c r="A604" t="s">
        <v>183</v>
      </c>
      <c r="B604">
        <v>3</v>
      </c>
      <c r="C604">
        <v>190.2</v>
      </c>
      <c r="D604">
        <v>6.9565443840795602</v>
      </c>
      <c r="E604">
        <v>0.35573964820771298</v>
      </c>
      <c r="F604">
        <v>0.42817385070651598</v>
      </c>
      <c r="G604" t="s">
        <v>799</v>
      </c>
    </row>
    <row r="605" spans="1:7" x14ac:dyDescent="0.3">
      <c r="A605" t="s">
        <v>183</v>
      </c>
      <c r="B605">
        <v>4</v>
      </c>
      <c r="C605">
        <v>253.6</v>
      </c>
      <c r="D605">
        <v>6.8509929768467401</v>
      </c>
      <c r="E605">
        <v>0.38713911402045398</v>
      </c>
      <c r="F605">
        <v>0.51036050196184801</v>
      </c>
      <c r="G605" t="s">
        <v>800</v>
      </c>
    </row>
    <row r="606" spans="1:7" x14ac:dyDescent="0.3">
      <c r="A606" t="s">
        <v>183</v>
      </c>
      <c r="B606">
        <v>5</v>
      </c>
      <c r="C606">
        <v>317</v>
      </c>
      <c r="D606">
        <v>6.7124574928558403</v>
      </c>
      <c r="E606">
        <v>0.40799023741517199</v>
      </c>
      <c r="F606">
        <v>0.58685215409617197</v>
      </c>
      <c r="G606" t="s">
        <v>801</v>
      </c>
    </row>
    <row r="607" spans="1:7" x14ac:dyDescent="0.3">
      <c r="A607" t="s">
        <v>183</v>
      </c>
      <c r="B607">
        <v>6</v>
      </c>
      <c r="C607">
        <v>380.4</v>
      </c>
      <c r="D607">
        <v>6.19764498376919</v>
      </c>
      <c r="E607">
        <v>0.41669099178759</v>
      </c>
      <c r="F607">
        <v>0.638266730102383</v>
      </c>
      <c r="G607" t="s">
        <v>802</v>
      </c>
    </row>
    <row r="608" spans="1:7" x14ac:dyDescent="0.3">
      <c r="A608" t="s">
        <v>183</v>
      </c>
      <c r="B608">
        <v>7</v>
      </c>
      <c r="C608">
        <v>443.8</v>
      </c>
      <c r="D608">
        <v>5.1009919648642796</v>
      </c>
      <c r="E608">
        <v>0.41462405749384901</v>
      </c>
      <c r="F608">
        <v>0.62187937701806395</v>
      </c>
      <c r="G608" t="s">
        <v>803</v>
      </c>
    </row>
    <row r="609" spans="1:7" x14ac:dyDescent="0.3">
      <c r="A609" t="s">
        <v>183</v>
      </c>
      <c r="B609">
        <v>8</v>
      </c>
      <c r="C609">
        <v>507.2</v>
      </c>
      <c r="D609">
        <v>3.4692890858582701</v>
      </c>
      <c r="E609">
        <v>0.40616135745456799</v>
      </c>
      <c r="F609">
        <v>0.49548277102106097</v>
      </c>
      <c r="G609" t="s">
        <v>804</v>
      </c>
    </row>
    <row r="610" spans="1:7" x14ac:dyDescent="0.3">
      <c r="A610" t="s">
        <v>183</v>
      </c>
      <c r="B610">
        <v>9</v>
      </c>
      <c r="C610">
        <v>570.6</v>
      </c>
      <c r="D610">
        <v>1.6105297507335701</v>
      </c>
      <c r="E610">
        <v>0.398641520693372</v>
      </c>
      <c r="F610">
        <v>0.25946530037833199</v>
      </c>
      <c r="G610" t="s">
        <v>805</v>
      </c>
    </row>
    <row r="611" spans="1:7" x14ac:dyDescent="0.3">
      <c r="A611" t="s">
        <v>183</v>
      </c>
      <c r="B611">
        <v>10</v>
      </c>
      <c r="C611">
        <v>634</v>
      </c>
      <c r="D611">
        <v>0</v>
      </c>
      <c r="E611">
        <v>0.40241479284346698</v>
      </c>
      <c r="F611">
        <v>0</v>
      </c>
      <c r="G611" t="s">
        <v>806</v>
      </c>
    </row>
    <row r="612" spans="1:7" x14ac:dyDescent="0.3">
      <c r="A612" t="s">
        <v>185</v>
      </c>
      <c r="B612">
        <v>0</v>
      </c>
      <c r="C612">
        <v>0</v>
      </c>
      <c r="D612">
        <v>6.9916515840000004</v>
      </c>
      <c r="E612">
        <v>0.30672850680000002</v>
      </c>
      <c r="F612">
        <v>0</v>
      </c>
      <c r="G612" t="s">
        <v>807</v>
      </c>
    </row>
    <row r="613" spans="1:7" x14ac:dyDescent="0.3">
      <c r="A613" t="s">
        <v>185</v>
      </c>
      <c r="B613">
        <v>1</v>
      </c>
      <c r="C613">
        <v>67.7</v>
      </c>
      <c r="D613">
        <v>7.23240337121862</v>
      </c>
      <c r="E613">
        <v>0.331603963796061</v>
      </c>
      <c r="F613">
        <v>0.16766935380199799</v>
      </c>
      <c r="G613" t="s">
        <v>808</v>
      </c>
    </row>
    <row r="614" spans="1:7" x14ac:dyDescent="0.3">
      <c r="A614" t="s">
        <v>185</v>
      </c>
      <c r="B614">
        <v>2</v>
      </c>
      <c r="C614">
        <v>135.4</v>
      </c>
      <c r="D614">
        <v>7.1679458005236203</v>
      </c>
      <c r="E614">
        <v>0.34840758536931599</v>
      </c>
      <c r="F614">
        <v>0.31719675256688601</v>
      </c>
      <c r="G614" t="s">
        <v>809</v>
      </c>
    </row>
    <row r="615" spans="1:7" x14ac:dyDescent="0.3">
      <c r="A615" t="s">
        <v>185</v>
      </c>
      <c r="B615">
        <v>3</v>
      </c>
      <c r="C615">
        <v>203.1</v>
      </c>
      <c r="D615">
        <v>6.8468282197543697</v>
      </c>
      <c r="E615">
        <v>0.36172346193759702</v>
      </c>
      <c r="F615">
        <v>0.43537773207132502</v>
      </c>
      <c r="G615" t="s">
        <v>810</v>
      </c>
    </row>
    <row r="616" spans="1:7" x14ac:dyDescent="0.3">
      <c r="A616" t="s">
        <v>185</v>
      </c>
      <c r="B616">
        <v>4</v>
      </c>
      <c r="C616">
        <v>270.8</v>
      </c>
      <c r="D616">
        <v>6.3592867368424502</v>
      </c>
      <c r="E616">
        <v>0.37442406203631401</v>
      </c>
      <c r="F616">
        <v>0.52017641622842803</v>
      </c>
      <c r="G616" t="s">
        <v>811</v>
      </c>
    </row>
    <row r="617" spans="1:7" x14ac:dyDescent="0.3">
      <c r="A617" t="s">
        <v>185</v>
      </c>
      <c r="B617">
        <v>5</v>
      </c>
      <c r="C617">
        <v>338.5</v>
      </c>
      <c r="D617">
        <v>5.7966128376550596</v>
      </c>
      <c r="E617">
        <v>0.38767038560188999</v>
      </c>
      <c r="F617">
        <v>0.57487273652493398</v>
      </c>
      <c r="G617" t="s">
        <v>812</v>
      </c>
    </row>
    <row r="618" spans="1:7" x14ac:dyDescent="0.3">
      <c r="A618" t="s">
        <v>185</v>
      </c>
      <c r="B618">
        <v>6</v>
      </c>
      <c r="C618">
        <v>406.2</v>
      </c>
      <c r="D618">
        <v>5.21051541070225</v>
      </c>
      <c r="E618">
        <v>0.400908611740938</v>
      </c>
      <c r="F618">
        <v>0.60210903919429104</v>
      </c>
      <c r="G618" t="s">
        <v>813</v>
      </c>
    </row>
    <row r="619" spans="1:7" x14ac:dyDescent="0.3">
      <c r="A619" t="s">
        <v>185</v>
      </c>
      <c r="B619">
        <v>7</v>
      </c>
      <c r="C619">
        <v>473.9</v>
      </c>
      <c r="D619">
        <v>4.5724989981422501</v>
      </c>
      <c r="E619">
        <v>0.411877851552858</v>
      </c>
      <c r="F619">
        <v>0.597936766167113</v>
      </c>
      <c r="G619" t="s">
        <v>814</v>
      </c>
    </row>
    <row r="620" spans="1:7" x14ac:dyDescent="0.3">
      <c r="A620" t="s">
        <v>185</v>
      </c>
      <c r="B620">
        <v>8</v>
      </c>
      <c r="C620">
        <v>541.6</v>
      </c>
      <c r="D620">
        <v>3.7332223539584701</v>
      </c>
      <c r="E620">
        <v>0.41660208214475097</v>
      </c>
      <c r="F620">
        <v>0.54586322077618599</v>
      </c>
      <c r="G620" t="s">
        <v>815</v>
      </c>
    </row>
    <row r="621" spans="1:7" x14ac:dyDescent="0.3">
      <c r="A621" t="s">
        <v>185</v>
      </c>
      <c r="B621">
        <v>9</v>
      </c>
      <c r="C621">
        <v>609.29999999999995</v>
      </c>
      <c r="D621">
        <v>2.3818691952410802</v>
      </c>
      <c r="E621">
        <v>0.40939423526517699</v>
      </c>
      <c r="F621">
        <v>0.41089810294005102</v>
      </c>
      <c r="G621" t="s">
        <v>816</v>
      </c>
    </row>
    <row r="622" spans="1:7" x14ac:dyDescent="0.3">
      <c r="A622" t="s">
        <v>185</v>
      </c>
      <c r="B622">
        <v>10</v>
      </c>
      <c r="C622">
        <v>677</v>
      </c>
      <c r="D622">
        <v>0</v>
      </c>
      <c r="E622">
        <v>0.38285537149977</v>
      </c>
      <c r="F622">
        <v>0</v>
      </c>
      <c r="G622" t="s">
        <v>817</v>
      </c>
    </row>
    <row r="623" spans="1:7" x14ac:dyDescent="0.3">
      <c r="A623" t="s">
        <v>186</v>
      </c>
      <c r="B623">
        <v>0</v>
      </c>
      <c r="C623">
        <v>0</v>
      </c>
      <c r="D623">
        <v>7.2921954849999997</v>
      </c>
      <c r="E623">
        <v>0.39735478670000002</v>
      </c>
      <c r="F623">
        <v>0</v>
      </c>
      <c r="G623" t="s">
        <v>818</v>
      </c>
    </row>
    <row r="624" spans="1:7" x14ac:dyDescent="0.3">
      <c r="A624" t="s">
        <v>186</v>
      </c>
      <c r="B624">
        <v>1</v>
      </c>
      <c r="C624">
        <v>78</v>
      </c>
      <c r="D624">
        <v>6.9269313008191</v>
      </c>
      <c r="E624">
        <v>0.45272509563822599</v>
      </c>
      <c r="F624">
        <v>0.15262360989418999</v>
      </c>
      <c r="G624" t="s">
        <v>819</v>
      </c>
    </row>
    <row r="625" spans="1:7" x14ac:dyDescent="0.3">
      <c r="A625" t="s">
        <v>186</v>
      </c>
      <c r="B625">
        <v>2</v>
      </c>
      <c r="C625">
        <v>156</v>
      </c>
      <c r="D625">
        <v>6.7147066612755504</v>
      </c>
      <c r="E625">
        <v>0.469090659895669</v>
      </c>
      <c r="F625">
        <v>0.25899036993171498</v>
      </c>
      <c r="G625" t="s">
        <v>820</v>
      </c>
    </row>
    <row r="626" spans="1:7" x14ac:dyDescent="0.3">
      <c r="A626" t="s">
        <v>186</v>
      </c>
      <c r="B626">
        <v>3</v>
      </c>
      <c r="C626">
        <v>234</v>
      </c>
      <c r="D626">
        <v>6.3579730614561001</v>
      </c>
      <c r="E626">
        <v>0.46829448050293898</v>
      </c>
      <c r="F626">
        <v>0.345534685319977</v>
      </c>
      <c r="G626" t="s">
        <v>821</v>
      </c>
    </row>
    <row r="627" spans="1:7" x14ac:dyDescent="0.3">
      <c r="A627" t="s">
        <v>186</v>
      </c>
      <c r="B627">
        <v>4</v>
      </c>
      <c r="C627">
        <v>312</v>
      </c>
      <c r="D627">
        <v>5.8791637324379797</v>
      </c>
      <c r="E627">
        <v>0.46547966078286701</v>
      </c>
      <c r="F627">
        <v>0.42896486206742501</v>
      </c>
      <c r="G627" t="s">
        <v>822</v>
      </c>
    </row>
    <row r="628" spans="1:7" x14ac:dyDescent="0.3">
      <c r="A628" t="s">
        <v>186</v>
      </c>
      <c r="B628">
        <v>5</v>
      </c>
      <c r="C628">
        <v>390</v>
      </c>
      <c r="D628">
        <v>5.4140899577367803</v>
      </c>
      <c r="E628">
        <v>0.46903006223783</v>
      </c>
      <c r="F628">
        <v>0.51172530375661196</v>
      </c>
      <c r="G628" t="s">
        <v>823</v>
      </c>
    </row>
    <row r="629" spans="1:7" x14ac:dyDescent="0.3">
      <c r="A629" t="s">
        <v>186</v>
      </c>
      <c r="B629">
        <v>6</v>
      </c>
      <c r="C629">
        <v>468</v>
      </c>
      <c r="D629">
        <v>5.0538014280044203</v>
      </c>
      <c r="E629">
        <v>0.48062985792069801</v>
      </c>
      <c r="F629">
        <v>0.58204709766859997</v>
      </c>
      <c r="G629" t="s">
        <v>824</v>
      </c>
    </row>
    <row r="630" spans="1:7" x14ac:dyDescent="0.3">
      <c r="A630" t="s">
        <v>186</v>
      </c>
      <c r="B630">
        <v>7</v>
      </c>
      <c r="C630">
        <v>546</v>
      </c>
      <c r="D630">
        <v>4.7326063950384203</v>
      </c>
      <c r="E630">
        <v>0.495233739512208</v>
      </c>
      <c r="F630">
        <v>0.61390166681548497</v>
      </c>
      <c r="G630" t="s">
        <v>825</v>
      </c>
    </row>
    <row r="631" spans="1:7" x14ac:dyDescent="0.3">
      <c r="A631" t="s">
        <v>186</v>
      </c>
      <c r="B631">
        <v>8</v>
      </c>
      <c r="C631">
        <v>624</v>
      </c>
      <c r="D631">
        <v>4.1651518421326204</v>
      </c>
      <c r="E631">
        <v>0.50107294073945396</v>
      </c>
      <c r="F631">
        <v>0.56702256297526699</v>
      </c>
      <c r="G631" t="s">
        <v>826</v>
      </c>
    </row>
    <row r="632" spans="1:7" x14ac:dyDescent="0.3">
      <c r="A632" t="s">
        <v>186</v>
      </c>
      <c r="B632">
        <v>9</v>
      </c>
      <c r="C632">
        <v>702</v>
      </c>
      <c r="D632">
        <v>2.8300318527120201</v>
      </c>
      <c r="E632">
        <v>0.47965485360177101</v>
      </c>
      <c r="F632">
        <v>0.38690130854206101</v>
      </c>
      <c r="G632" t="s">
        <v>827</v>
      </c>
    </row>
    <row r="633" spans="1:7" x14ac:dyDescent="0.3">
      <c r="A633" t="s">
        <v>186</v>
      </c>
      <c r="B633">
        <v>10</v>
      </c>
      <c r="C633">
        <v>780</v>
      </c>
      <c r="D633">
        <v>0</v>
      </c>
      <c r="E633">
        <v>0.40576352069662402</v>
      </c>
      <c r="F633">
        <v>0</v>
      </c>
      <c r="G633" t="s">
        <v>828</v>
      </c>
    </row>
    <row r="634" spans="1:7" x14ac:dyDescent="0.3">
      <c r="A634" t="s">
        <v>188</v>
      </c>
      <c r="B634">
        <v>0</v>
      </c>
      <c r="C634">
        <v>0</v>
      </c>
      <c r="D634">
        <v>5.1002025040010102</v>
      </c>
      <c r="E634">
        <v>0.35414945809999998</v>
      </c>
      <c r="F634">
        <v>0</v>
      </c>
      <c r="G634" t="s">
        <v>829</v>
      </c>
    </row>
    <row r="635" spans="1:7" x14ac:dyDescent="0.3">
      <c r="A635" t="s">
        <v>188</v>
      </c>
      <c r="B635">
        <v>1</v>
      </c>
      <c r="C635">
        <v>105</v>
      </c>
      <c r="D635">
        <v>5.1625756250225798</v>
      </c>
      <c r="E635">
        <v>0.38625184383878902</v>
      </c>
      <c r="F635">
        <v>0.161817414062774</v>
      </c>
      <c r="G635" t="s">
        <v>830</v>
      </c>
    </row>
    <row r="636" spans="1:7" x14ac:dyDescent="0.3">
      <c r="A636" t="s">
        <v>188</v>
      </c>
      <c r="B636">
        <v>2</v>
      </c>
      <c r="C636">
        <v>210</v>
      </c>
      <c r="D636">
        <v>5.3312786472101203</v>
      </c>
      <c r="E636">
        <v>0.44868212465798502</v>
      </c>
      <c r="F636">
        <v>0.28299563363727198</v>
      </c>
      <c r="G636" t="s">
        <v>831</v>
      </c>
    </row>
    <row r="637" spans="1:7" x14ac:dyDescent="0.3">
      <c r="A637" t="s">
        <v>188</v>
      </c>
      <c r="B637">
        <v>3</v>
      </c>
      <c r="C637">
        <v>315</v>
      </c>
      <c r="D637">
        <v>5.3626810183006901</v>
      </c>
      <c r="E637">
        <v>0.49207965530879799</v>
      </c>
      <c r="F637">
        <v>0.386184401045505</v>
      </c>
      <c r="G637" t="s">
        <v>832</v>
      </c>
    </row>
    <row r="638" spans="1:7" x14ac:dyDescent="0.3">
      <c r="A638" t="s">
        <v>188</v>
      </c>
      <c r="B638">
        <v>4</v>
      </c>
      <c r="C638">
        <v>420</v>
      </c>
      <c r="D638">
        <v>5.0755997461649001</v>
      </c>
      <c r="E638">
        <v>0.513815158367812</v>
      </c>
      <c r="F638">
        <v>0.47492461223667698</v>
      </c>
      <c r="G638" t="s">
        <v>833</v>
      </c>
    </row>
    <row r="639" spans="1:7" x14ac:dyDescent="0.3">
      <c r="A639" t="s">
        <v>188</v>
      </c>
      <c r="B639">
        <v>5</v>
      </c>
      <c r="C639">
        <v>525</v>
      </c>
      <c r="D639">
        <v>4.8020908622471099</v>
      </c>
      <c r="E639">
        <v>0.52728103286478101</v>
      </c>
      <c r="F639">
        <v>0.54656030540000899</v>
      </c>
      <c r="G639" t="s">
        <v>834</v>
      </c>
    </row>
    <row r="640" spans="1:7" x14ac:dyDescent="0.3">
      <c r="A640" t="s">
        <v>188</v>
      </c>
      <c r="B640">
        <v>6</v>
      </c>
      <c r="C640">
        <v>630</v>
      </c>
      <c r="D640">
        <v>4.5669035194385899</v>
      </c>
      <c r="E640">
        <v>0.54177216760549796</v>
      </c>
      <c r="F640">
        <v>0.59761276935040797</v>
      </c>
      <c r="G640" t="s">
        <v>835</v>
      </c>
    </row>
    <row r="641" spans="1:7" x14ac:dyDescent="0.3">
      <c r="A641" t="s">
        <v>188</v>
      </c>
      <c r="B641">
        <v>7</v>
      </c>
      <c r="C641">
        <v>735</v>
      </c>
      <c r="D641">
        <v>4.0947967546806101</v>
      </c>
      <c r="E641">
        <v>0.55299808743828804</v>
      </c>
      <c r="F641">
        <v>0.61959051705776502</v>
      </c>
      <c r="G641" t="s">
        <v>836</v>
      </c>
    </row>
    <row r="642" spans="1:7" x14ac:dyDescent="0.3">
      <c r="A642" t="s">
        <v>188</v>
      </c>
      <c r="B642">
        <v>8</v>
      </c>
      <c r="C642">
        <v>840</v>
      </c>
      <c r="D642">
        <v>3.2802563783152499</v>
      </c>
      <c r="E642">
        <v>0.54415323555149797</v>
      </c>
      <c r="F642">
        <v>0.58523540526907802</v>
      </c>
      <c r="G642" t="s">
        <v>837</v>
      </c>
    </row>
    <row r="643" spans="1:7" x14ac:dyDescent="0.3">
      <c r="A643" t="s">
        <v>188</v>
      </c>
      <c r="B643">
        <v>9</v>
      </c>
      <c r="C643">
        <v>945</v>
      </c>
      <c r="D643">
        <v>2.0816120016054098</v>
      </c>
      <c r="E643">
        <v>0.49766456545052001</v>
      </c>
      <c r="F643">
        <v>0.42520415064159001</v>
      </c>
      <c r="G643" t="s">
        <v>838</v>
      </c>
    </row>
    <row r="644" spans="1:7" x14ac:dyDescent="0.3">
      <c r="A644" t="s">
        <v>188</v>
      </c>
      <c r="B644">
        <v>10</v>
      </c>
      <c r="C644">
        <v>1050</v>
      </c>
      <c r="D644">
        <v>0</v>
      </c>
      <c r="E644">
        <v>0.41749651392562398</v>
      </c>
      <c r="F644">
        <v>0</v>
      </c>
      <c r="G644" t="s">
        <v>839</v>
      </c>
    </row>
    <row r="645" spans="1:7" x14ac:dyDescent="0.3">
      <c r="A645" t="s">
        <v>190</v>
      </c>
      <c r="B645">
        <v>0</v>
      </c>
      <c r="C645">
        <v>0</v>
      </c>
      <c r="D645">
        <v>7.9019829719999999</v>
      </c>
      <c r="E645">
        <v>8.4422268910000001E-2</v>
      </c>
      <c r="F645">
        <v>0</v>
      </c>
      <c r="G645" t="s">
        <v>840</v>
      </c>
    </row>
    <row r="646" spans="1:7" x14ac:dyDescent="0.3">
      <c r="A646" t="s">
        <v>190</v>
      </c>
      <c r="B646">
        <v>1</v>
      </c>
      <c r="C646">
        <v>13.6</v>
      </c>
      <c r="D646">
        <v>7.9995138700822901</v>
      </c>
      <c r="E646">
        <v>8.2133783574619701E-2</v>
      </c>
      <c r="F646">
        <v>0.15006007633736501</v>
      </c>
      <c r="G646" t="s">
        <v>841</v>
      </c>
    </row>
    <row r="647" spans="1:7" x14ac:dyDescent="0.3">
      <c r="A647" t="s">
        <v>190</v>
      </c>
      <c r="B647">
        <v>2</v>
      </c>
      <c r="C647">
        <v>27.2</v>
      </c>
      <c r="D647">
        <v>7.8670752168486198</v>
      </c>
      <c r="E647">
        <v>8.3849711578562899E-2</v>
      </c>
      <c r="F647">
        <v>0.29064090035976797</v>
      </c>
      <c r="G647" t="s">
        <v>842</v>
      </c>
    </row>
    <row r="648" spans="1:7" x14ac:dyDescent="0.3">
      <c r="A648" t="s">
        <v>190</v>
      </c>
      <c r="B648">
        <v>3</v>
      </c>
      <c r="C648">
        <v>40.799999999999997</v>
      </c>
      <c r="D648">
        <v>7.6611795900245996</v>
      </c>
      <c r="E648">
        <v>8.8243412187667E-2</v>
      </c>
      <c r="F648">
        <v>0.40339115475100201</v>
      </c>
      <c r="G648" t="s">
        <v>843</v>
      </c>
    </row>
    <row r="649" spans="1:7" x14ac:dyDescent="0.3">
      <c r="A649" t="s">
        <v>190</v>
      </c>
      <c r="B649">
        <v>4</v>
      </c>
      <c r="C649">
        <v>54.4</v>
      </c>
      <c r="D649">
        <v>7.3943668644096299</v>
      </c>
      <c r="E649">
        <v>9.4173324019780902E-2</v>
      </c>
      <c r="F649">
        <v>0.484558870167553</v>
      </c>
      <c r="G649" t="s">
        <v>844</v>
      </c>
    </row>
    <row r="650" spans="1:7" x14ac:dyDescent="0.3">
      <c r="A650" t="s">
        <v>190</v>
      </c>
      <c r="B650">
        <v>5</v>
      </c>
      <c r="C650">
        <v>68</v>
      </c>
      <c r="D650">
        <v>7.0185859446157099</v>
      </c>
      <c r="E650">
        <v>0.10068291410173701</v>
      </c>
      <c r="F650">
        <v>0.53623533945525304</v>
      </c>
      <c r="G650" t="s">
        <v>845</v>
      </c>
    </row>
    <row r="651" spans="1:7" x14ac:dyDescent="0.3">
      <c r="A651" t="s">
        <v>190</v>
      </c>
      <c r="B651">
        <v>6</v>
      </c>
      <c r="C651">
        <v>81.599999999999994</v>
      </c>
      <c r="D651">
        <v>6.4704311290095102</v>
      </c>
      <c r="E651">
        <v>0.10700092229890799</v>
      </c>
      <c r="F651">
        <v>0.55916506222843998</v>
      </c>
      <c r="G651" t="s">
        <v>846</v>
      </c>
    </row>
    <row r="652" spans="1:7" x14ac:dyDescent="0.3">
      <c r="A652" t="s">
        <v>190</v>
      </c>
      <c r="B652">
        <v>7</v>
      </c>
      <c r="C652">
        <v>95.2</v>
      </c>
      <c r="D652">
        <v>5.6782458645376304</v>
      </c>
      <c r="E652">
        <v>0.112540880390674</v>
      </c>
      <c r="F652">
        <v>0.54667974986252099</v>
      </c>
      <c r="G652" t="s">
        <v>847</v>
      </c>
    </row>
    <row r="653" spans="1:7" x14ac:dyDescent="0.3">
      <c r="A653" t="s">
        <v>190</v>
      </c>
      <c r="B653">
        <v>8</v>
      </c>
      <c r="C653">
        <v>108.8</v>
      </c>
      <c r="D653">
        <v>4.5310847841679802</v>
      </c>
      <c r="E653">
        <v>0.116901588813153</v>
      </c>
      <c r="F653">
        <v>0.47975653967699899</v>
      </c>
      <c r="G653" t="s">
        <v>848</v>
      </c>
    </row>
    <row r="654" spans="1:7" x14ac:dyDescent="0.3">
      <c r="A654" t="s">
        <v>190</v>
      </c>
      <c r="B654">
        <v>9</v>
      </c>
      <c r="C654">
        <v>122.4</v>
      </c>
      <c r="D654">
        <v>2.8095372797737999</v>
      </c>
      <c r="E654">
        <v>0.11986687942511801</v>
      </c>
      <c r="F654">
        <v>0.32320032242140101</v>
      </c>
      <c r="G654" t="s">
        <v>849</v>
      </c>
    </row>
    <row r="655" spans="1:7" x14ac:dyDescent="0.3">
      <c r="A655" t="s">
        <v>190</v>
      </c>
      <c r="B655">
        <v>10</v>
      </c>
      <c r="C655">
        <v>136</v>
      </c>
      <c r="D655">
        <v>0</v>
      </c>
      <c r="E655">
        <v>0.121405663049043</v>
      </c>
      <c r="F655">
        <v>0</v>
      </c>
      <c r="G655" t="s">
        <v>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G56"/>
  <sheetViews>
    <sheetView workbookViewId="0">
      <pane ySplit="1" topLeftCell="A2" activePane="bottomLeft" state="frozen"/>
      <selection pane="bottomLeft" activeCell="F24" sqref="F24"/>
    </sheetView>
  </sheetViews>
  <sheetFormatPr defaultRowHeight="14.4" x14ac:dyDescent="0.3"/>
  <cols>
    <col min="1" max="7" width="13" customWidth="1"/>
  </cols>
  <sheetData>
    <row r="1" spans="1:7" x14ac:dyDescent="0.3">
      <c r="A1" s="10" t="s">
        <v>851</v>
      </c>
      <c r="B1" s="10" t="s">
        <v>852</v>
      </c>
      <c r="C1" s="10" t="s">
        <v>853</v>
      </c>
      <c r="D1" s="10" t="s">
        <v>854</v>
      </c>
      <c r="E1" s="10" t="s">
        <v>855</v>
      </c>
      <c r="F1" s="10" t="s">
        <v>856</v>
      </c>
      <c r="G1" s="10" t="s">
        <v>857</v>
      </c>
    </row>
    <row r="2" spans="1:7" x14ac:dyDescent="0.3">
      <c r="A2">
        <v>0</v>
      </c>
      <c r="B2">
        <v>-0.53</v>
      </c>
      <c r="C2">
        <v>-0.35</v>
      </c>
      <c r="D2">
        <v>-1.56</v>
      </c>
      <c r="E2">
        <v>-1.56</v>
      </c>
      <c r="F2">
        <v>-1</v>
      </c>
      <c r="G2">
        <v>-0.56000000000000005</v>
      </c>
    </row>
    <row r="3" spans="1:7" x14ac:dyDescent="0.3">
      <c r="A3">
        <v>5</v>
      </c>
      <c r="B3">
        <v>-0.47599999999999998</v>
      </c>
      <c r="C3">
        <v>-0.47399999999999998</v>
      </c>
      <c r="D3">
        <v>-1.29</v>
      </c>
      <c r="E3">
        <v>-1.2</v>
      </c>
      <c r="F3">
        <v>-0.94799999999999995</v>
      </c>
      <c r="G3">
        <v>-0.6</v>
      </c>
    </row>
    <row r="4" spans="1:7" x14ac:dyDescent="0.3">
      <c r="A4">
        <v>10</v>
      </c>
      <c r="B4">
        <v>-0.39200000000000002</v>
      </c>
      <c r="C4">
        <v>-0.18</v>
      </c>
      <c r="D4">
        <v>-1.0349999999999999</v>
      </c>
      <c r="E4">
        <v>-0.89500000000000002</v>
      </c>
      <c r="F4">
        <v>-0.89200000000000002</v>
      </c>
      <c r="G4">
        <v>-0.60499999999999998</v>
      </c>
    </row>
    <row r="5" spans="1:7" x14ac:dyDescent="0.3">
      <c r="A5">
        <v>15</v>
      </c>
      <c r="B5">
        <v>-0.29099999999999998</v>
      </c>
      <c r="C5">
        <v>-6.2E-2</v>
      </c>
      <c r="D5">
        <v>-0.79500000000000004</v>
      </c>
      <c r="E5">
        <v>-0.6</v>
      </c>
      <c r="F5">
        <v>-0.82</v>
      </c>
      <c r="G5">
        <v>-0.57999999999999996</v>
      </c>
    </row>
    <row r="6" spans="1:7" x14ac:dyDescent="0.3">
      <c r="A6">
        <v>20</v>
      </c>
      <c r="B6">
        <v>-0.15</v>
      </c>
      <c r="C6">
        <v>3.6999999999999998E-2</v>
      </c>
      <c r="D6">
        <v>-0.54</v>
      </c>
      <c r="E6">
        <v>-0.35499999999999998</v>
      </c>
      <c r="F6">
        <v>-0.66500000000000004</v>
      </c>
      <c r="G6">
        <v>-0.503</v>
      </c>
    </row>
    <row r="7" spans="1:7" x14ac:dyDescent="0.3">
      <c r="A7">
        <v>25</v>
      </c>
      <c r="B7">
        <v>-3.6999999999999998E-2</v>
      </c>
      <c r="C7">
        <v>0.13500000000000001</v>
      </c>
      <c r="D7">
        <v>-0.308</v>
      </c>
      <c r="E7">
        <v>-0.13500000000000001</v>
      </c>
      <c r="F7">
        <v>-0.47499999999999998</v>
      </c>
      <c r="G7">
        <v>-0.35499999999999998</v>
      </c>
    </row>
    <row r="8" spans="1:7" x14ac:dyDescent="0.3">
      <c r="A8">
        <v>30</v>
      </c>
      <c r="B8">
        <v>7.4999999999999997E-2</v>
      </c>
      <c r="C8">
        <v>0.22800000000000001</v>
      </c>
      <c r="D8">
        <v>-3.2000000000000001E-2</v>
      </c>
      <c r="E8">
        <v>0.06</v>
      </c>
      <c r="F8">
        <v>-0.27500000000000002</v>
      </c>
      <c r="G8">
        <v>-0.16</v>
      </c>
    </row>
    <row r="9" spans="1:7" x14ac:dyDescent="0.3">
      <c r="A9">
        <v>35</v>
      </c>
      <c r="B9">
        <v>0.2</v>
      </c>
      <c r="C9">
        <v>0.32</v>
      </c>
      <c r="D9">
        <v>0.122</v>
      </c>
      <c r="E9">
        <v>0.23499999999999999</v>
      </c>
      <c r="F9">
        <v>-5.5E-2</v>
      </c>
      <c r="G9">
        <v>7.0000000000000007E-2</v>
      </c>
    </row>
    <row r="10" spans="1:7" x14ac:dyDescent="0.3">
      <c r="A10">
        <v>40</v>
      </c>
      <c r="B10">
        <v>0.34499999999999997</v>
      </c>
      <c r="C10">
        <v>0.42499999999999999</v>
      </c>
      <c r="D10">
        <v>0.31</v>
      </c>
      <c r="E10">
        <v>0.38</v>
      </c>
      <c r="F10">
        <v>0.2</v>
      </c>
      <c r="G10">
        <v>0.32</v>
      </c>
    </row>
    <row r="11" spans="1:7" x14ac:dyDescent="0.3">
      <c r="A11">
        <v>45</v>
      </c>
      <c r="B11">
        <v>0.5</v>
      </c>
      <c r="C11">
        <v>0.5</v>
      </c>
      <c r="D11">
        <v>0.5</v>
      </c>
      <c r="E11">
        <v>0.5</v>
      </c>
      <c r="F11">
        <v>0.5</v>
      </c>
      <c r="G11">
        <v>0.5</v>
      </c>
    </row>
    <row r="12" spans="1:7" x14ac:dyDescent="0.3">
      <c r="A12">
        <v>50</v>
      </c>
      <c r="B12">
        <v>0.65500000000000003</v>
      </c>
      <c r="C12">
        <v>0.54800000000000004</v>
      </c>
      <c r="D12">
        <v>0.63500000000000001</v>
      </c>
      <c r="E12">
        <v>0.57999999999999996</v>
      </c>
      <c r="F12">
        <v>0.78500000000000003</v>
      </c>
      <c r="G12">
        <v>0.62</v>
      </c>
    </row>
    <row r="13" spans="1:7" x14ac:dyDescent="0.3">
      <c r="A13">
        <v>55</v>
      </c>
      <c r="B13">
        <v>0.77700000000000002</v>
      </c>
      <c r="C13">
        <v>0.58799999999999997</v>
      </c>
      <c r="D13">
        <v>0.745</v>
      </c>
      <c r="E13">
        <v>0.64500000000000002</v>
      </c>
      <c r="F13">
        <v>1.0349999999999999</v>
      </c>
      <c r="G13">
        <v>0.70799999999999996</v>
      </c>
    </row>
    <row r="14" spans="1:7" x14ac:dyDescent="0.3">
      <c r="A14">
        <v>60</v>
      </c>
      <c r="B14">
        <v>0.9</v>
      </c>
      <c r="C14">
        <v>0.61199999999999999</v>
      </c>
      <c r="D14">
        <v>0.86</v>
      </c>
      <c r="E14">
        <v>0.69499999999999995</v>
      </c>
      <c r="F14">
        <v>1.28</v>
      </c>
      <c r="G14">
        <v>0.82499999999999996</v>
      </c>
    </row>
    <row r="15" spans="1:7" x14ac:dyDescent="0.3">
      <c r="A15">
        <v>65</v>
      </c>
      <c r="B15">
        <v>1.0069999999999999</v>
      </c>
      <c r="C15">
        <v>0.61499999999999999</v>
      </c>
      <c r="D15">
        <v>0.99199999999999999</v>
      </c>
      <c r="E15">
        <v>0.755</v>
      </c>
      <c r="F15">
        <v>1.508</v>
      </c>
      <c r="G15">
        <v>0.95499999999999996</v>
      </c>
    </row>
    <row r="16" spans="1:7" x14ac:dyDescent="0.3">
      <c r="A16">
        <v>70</v>
      </c>
      <c r="B16">
        <v>1.115</v>
      </c>
      <c r="C16">
        <v>0.6</v>
      </c>
      <c r="D16">
        <v>1.1399999999999999</v>
      </c>
      <c r="E16">
        <v>0.85</v>
      </c>
      <c r="F16">
        <v>1.73</v>
      </c>
      <c r="G16">
        <v>1.1499999999999999</v>
      </c>
    </row>
    <row r="17" spans="1:7" x14ac:dyDescent="0.3">
      <c r="A17">
        <v>75</v>
      </c>
      <c r="B17">
        <v>1.1879999999999999</v>
      </c>
      <c r="C17">
        <v>0.56899999999999995</v>
      </c>
      <c r="D17">
        <v>1.365</v>
      </c>
      <c r="E17">
        <v>0.97</v>
      </c>
      <c r="F17">
        <v>1.97</v>
      </c>
      <c r="G17">
        <v>1.413</v>
      </c>
    </row>
    <row r="18" spans="1:7" x14ac:dyDescent="0.3">
      <c r="A18">
        <v>80</v>
      </c>
      <c r="B18">
        <v>1.2450000000000001</v>
      </c>
      <c r="C18">
        <v>0.53</v>
      </c>
      <c r="D18">
        <v>1.595</v>
      </c>
      <c r="E18">
        <v>1.115</v>
      </c>
      <c r="F18">
        <v>2.2250000000000001</v>
      </c>
      <c r="G18">
        <v>1.6080000000000001</v>
      </c>
    </row>
    <row r="19" spans="1:7" x14ac:dyDescent="0.3">
      <c r="A19">
        <v>85</v>
      </c>
      <c r="B19">
        <v>1.278</v>
      </c>
      <c r="C19">
        <v>0.47899999999999998</v>
      </c>
      <c r="D19">
        <v>1.79</v>
      </c>
      <c r="E19">
        <v>1.3</v>
      </c>
      <c r="F19">
        <v>2.4849999999999999</v>
      </c>
      <c r="G19">
        <v>1.78</v>
      </c>
    </row>
    <row r="20" spans="1:7" x14ac:dyDescent="0.3">
      <c r="A20">
        <v>90</v>
      </c>
      <c r="B20">
        <v>1.29</v>
      </c>
      <c r="C20">
        <v>0.44</v>
      </c>
      <c r="D20">
        <v>1.96</v>
      </c>
      <c r="E20">
        <v>1.4850000000000001</v>
      </c>
      <c r="F20">
        <v>2.74</v>
      </c>
      <c r="G20">
        <v>1.96</v>
      </c>
    </row>
    <row r="21" spans="1:7" x14ac:dyDescent="0.3">
      <c r="A21">
        <v>95</v>
      </c>
      <c r="B21">
        <v>1.2869999999999999</v>
      </c>
      <c r="C21">
        <v>0.40200000000000002</v>
      </c>
      <c r="D21">
        <v>2.048</v>
      </c>
      <c r="E21">
        <v>1.518</v>
      </c>
      <c r="F21">
        <v>2.98</v>
      </c>
      <c r="G21">
        <v>2.15</v>
      </c>
    </row>
    <row r="22" spans="1:7" x14ac:dyDescent="0.3">
      <c r="A22">
        <v>100</v>
      </c>
      <c r="B22">
        <v>1.2689999999999999</v>
      </c>
      <c r="C22">
        <v>0.373</v>
      </c>
      <c r="D22">
        <v>2.11</v>
      </c>
      <c r="E22">
        <v>1.54</v>
      </c>
      <c r="F22">
        <v>3.1949999999999998</v>
      </c>
      <c r="G22">
        <v>2.3450000000000002</v>
      </c>
    </row>
    <row r="23" spans="1:7" x14ac:dyDescent="0.3">
      <c r="A23">
        <v>105</v>
      </c>
      <c r="B23">
        <v>1.24</v>
      </c>
      <c r="C23">
        <v>0.35</v>
      </c>
      <c r="D23">
        <v>2.1579999999999999</v>
      </c>
      <c r="E23">
        <v>1.5449999999999999</v>
      </c>
      <c r="F23">
        <v>3.32</v>
      </c>
      <c r="G23">
        <v>2.5249999999999999</v>
      </c>
    </row>
    <row r="24" spans="1:7" x14ac:dyDescent="0.3">
      <c r="A24">
        <v>110</v>
      </c>
      <c r="B24">
        <v>1.2010000000000001</v>
      </c>
      <c r="C24">
        <v>0.34</v>
      </c>
      <c r="D24">
        <v>2.2029999999999998</v>
      </c>
      <c r="E24">
        <v>1.56</v>
      </c>
      <c r="F24">
        <v>3.5150000000000001</v>
      </c>
      <c r="G24">
        <v>2.71</v>
      </c>
    </row>
    <row r="25" spans="1:7" x14ac:dyDescent="0.3">
      <c r="A25">
        <v>115</v>
      </c>
      <c r="B25">
        <v>1.1619999999999999</v>
      </c>
      <c r="C25">
        <v>0.34</v>
      </c>
      <c r="D25">
        <v>2.2530000000000001</v>
      </c>
      <c r="E25">
        <v>1.5920000000000001</v>
      </c>
      <c r="F25">
        <v>3.5720000000000001</v>
      </c>
      <c r="G25">
        <v>2.9</v>
      </c>
    </row>
    <row r="26" spans="1:7" x14ac:dyDescent="0.3">
      <c r="A26">
        <v>120</v>
      </c>
      <c r="B26">
        <v>1.115</v>
      </c>
      <c r="C26">
        <v>0.35</v>
      </c>
      <c r="D26">
        <v>2.3149999999999999</v>
      </c>
      <c r="E26">
        <v>1.6419999999999999</v>
      </c>
      <c r="F26">
        <v>3.57</v>
      </c>
      <c r="G26">
        <v>3</v>
      </c>
    </row>
    <row r="27" spans="1:7" x14ac:dyDescent="0.3">
      <c r="A27">
        <v>125</v>
      </c>
      <c r="B27">
        <v>1.069</v>
      </c>
      <c r="C27">
        <v>0.38</v>
      </c>
      <c r="D27">
        <v>2.39</v>
      </c>
      <c r="E27">
        <v>1.72</v>
      </c>
      <c r="F27">
        <v>3.49</v>
      </c>
      <c r="G27">
        <v>3.01</v>
      </c>
    </row>
    <row r="28" spans="1:7" x14ac:dyDescent="0.3">
      <c r="A28">
        <v>130</v>
      </c>
      <c r="B28">
        <v>1.0249999999999999</v>
      </c>
      <c r="C28">
        <v>0.437</v>
      </c>
      <c r="D28">
        <v>2.4950000000000001</v>
      </c>
      <c r="E28">
        <v>1.9</v>
      </c>
      <c r="F28">
        <v>3.35</v>
      </c>
      <c r="G28">
        <v>2.9249999999999998</v>
      </c>
    </row>
    <row r="29" spans="1:7" x14ac:dyDescent="0.3">
      <c r="A29">
        <v>135</v>
      </c>
      <c r="B29">
        <v>0.99199999999999999</v>
      </c>
      <c r="C29">
        <v>0.52</v>
      </c>
      <c r="D29">
        <v>2.63</v>
      </c>
      <c r="E29">
        <v>2.09</v>
      </c>
      <c r="F29">
        <v>3.14</v>
      </c>
      <c r="G29">
        <v>2.76</v>
      </c>
    </row>
    <row r="30" spans="1:7" x14ac:dyDescent="0.3">
      <c r="A30">
        <v>140</v>
      </c>
      <c r="B30">
        <v>0.94499999999999995</v>
      </c>
      <c r="C30">
        <v>0.60499999999999998</v>
      </c>
      <c r="D30">
        <v>2.7349999999999999</v>
      </c>
      <c r="E30">
        <v>2.3149999999999999</v>
      </c>
      <c r="F30">
        <v>2.875</v>
      </c>
      <c r="G30">
        <v>2.5</v>
      </c>
    </row>
    <row r="31" spans="1:7" x14ac:dyDescent="0.3">
      <c r="A31">
        <v>145</v>
      </c>
      <c r="B31">
        <v>0.90800000000000003</v>
      </c>
      <c r="C31">
        <v>0.68300000000000005</v>
      </c>
      <c r="D31">
        <v>2.9049999999999998</v>
      </c>
      <c r="E31">
        <v>2.5299999999999998</v>
      </c>
      <c r="F31">
        <v>2.57</v>
      </c>
      <c r="G31">
        <v>2.2450000000000001</v>
      </c>
    </row>
    <row r="32" spans="1:7" x14ac:dyDescent="0.3">
      <c r="A32">
        <v>150</v>
      </c>
      <c r="B32">
        <v>0.875</v>
      </c>
      <c r="C32">
        <v>0.75</v>
      </c>
      <c r="D32">
        <v>3</v>
      </c>
      <c r="E32">
        <v>2.65</v>
      </c>
      <c r="F32">
        <v>2.2999999999999998</v>
      </c>
      <c r="G32">
        <v>1.99</v>
      </c>
    </row>
    <row r="33" spans="1:7" x14ac:dyDescent="0.3">
      <c r="A33">
        <v>155</v>
      </c>
      <c r="B33">
        <v>0.84799999999999998</v>
      </c>
      <c r="C33">
        <v>0.80200000000000005</v>
      </c>
      <c r="D33">
        <v>3.02</v>
      </c>
      <c r="E33">
        <v>2.72</v>
      </c>
      <c r="F33">
        <v>2.0649999999999999</v>
      </c>
      <c r="G33">
        <v>1.75</v>
      </c>
    </row>
    <row r="34" spans="1:7" x14ac:dyDescent="0.3">
      <c r="A34">
        <v>160</v>
      </c>
      <c r="B34">
        <v>0.81899999999999995</v>
      </c>
      <c r="C34">
        <v>0.84499999999999997</v>
      </c>
      <c r="D34">
        <v>2.9750000000000001</v>
      </c>
      <c r="E34">
        <v>2.74</v>
      </c>
      <c r="F34">
        <v>1.84</v>
      </c>
      <c r="G34">
        <v>1.518</v>
      </c>
    </row>
    <row r="35" spans="1:7" x14ac:dyDescent="0.3">
      <c r="A35">
        <v>165</v>
      </c>
      <c r="B35">
        <v>0.78800000000000003</v>
      </c>
      <c r="C35">
        <v>0.872</v>
      </c>
      <c r="D35">
        <v>2.8250000000000002</v>
      </c>
      <c r="E35">
        <v>2.6850000000000001</v>
      </c>
      <c r="F35">
        <v>1.633</v>
      </c>
      <c r="G35">
        <v>1.3</v>
      </c>
    </row>
    <row r="36" spans="1:7" x14ac:dyDescent="0.3">
      <c r="A36">
        <v>170</v>
      </c>
      <c r="B36">
        <v>0.755</v>
      </c>
      <c r="C36">
        <v>0.88300000000000001</v>
      </c>
      <c r="D36">
        <v>2.6520000000000001</v>
      </c>
      <c r="E36">
        <v>2.5350000000000001</v>
      </c>
      <c r="F36">
        <v>1.44</v>
      </c>
      <c r="G36">
        <v>1.085</v>
      </c>
    </row>
    <row r="37" spans="1:7" x14ac:dyDescent="0.3">
      <c r="A37">
        <v>175</v>
      </c>
      <c r="B37">
        <v>0.72299999999999998</v>
      </c>
      <c r="C37">
        <v>0.878</v>
      </c>
      <c r="D37">
        <v>2.4420000000000002</v>
      </c>
      <c r="E37">
        <v>2.31</v>
      </c>
      <c r="F37">
        <v>1.26</v>
      </c>
      <c r="G37">
        <v>0.87</v>
      </c>
    </row>
    <row r="38" spans="1:7" x14ac:dyDescent="0.3">
      <c r="A38">
        <v>180</v>
      </c>
      <c r="B38">
        <v>0.69</v>
      </c>
      <c r="C38">
        <v>0.86</v>
      </c>
      <c r="D38">
        <v>2.1949999999999998</v>
      </c>
      <c r="E38">
        <v>2.09</v>
      </c>
      <c r="F38">
        <v>1.08</v>
      </c>
      <c r="G38">
        <v>0.66</v>
      </c>
    </row>
    <row r="39" spans="1:7" x14ac:dyDescent="0.3">
      <c r="A39">
        <v>185</v>
      </c>
      <c r="B39">
        <v>0.65600000000000003</v>
      </c>
      <c r="C39">
        <v>0.82299999999999995</v>
      </c>
      <c r="D39">
        <v>1.89</v>
      </c>
      <c r="E39">
        <v>1.85</v>
      </c>
      <c r="F39">
        <v>0.92</v>
      </c>
      <c r="G39">
        <v>0.5</v>
      </c>
    </row>
    <row r="40" spans="1:7" x14ac:dyDescent="0.3">
      <c r="A40">
        <v>190</v>
      </c>
      <c r="B40">
        <v>0.61899999999999999</v>
      </c>
      <c r="C40">
        <v>0.78</v>
      </c>
      <c r="D40">
        <v>1.5249999999999999</v>
      </c>
      <c r="E40">
        <v>1.57</v>
      </c>
      <c r="F40">
        <v>0.78</v>
      </c>
      <c r="G40">
        <v>0.505</v>
      </c>
    </row>
    <row r="41" spans="1:7" x14ac:dyDescent="0.3">
      <c r="A41">
        <v>195</v>
      </c>
      <c r="B41">
        <v>0.58299999999999996</v>
      </c>
      <c r="C41">
        <v>0.72499999999999998</v>
      </c>
      <c r="D41">
        <v>1.1950000000000001</v>
      </c>
      <c r="E41">
        <v>1.25</v>
      </c>
      <c r="F41">
        <v>0.71</v>
      </c>
      <c r="G41">
        <v>0.55500000000000005</v>
      </c>
    </row>
    <row r="42" spans="1:7" x14ac:dyDescent="0.3">
      <c r="A42">
        <v>200</v>
      </c>
      <c r="B42">
        <v>0.55500000000000005</v>
      </c>
      <c r="C42">
        <v>0.66</v>
      </c>
      <c r="D42">
        <v>0.93500000000000005</v>
      </c>
      <c r="E42">
        <v>0.95499999999999996</v>
      </c>
      <c r="F42">
        <v>0.67</v>
      </c>
      <c r="G42">
        <v>0.61499999999999999</v>
      </c>
    </row>
    <row r="43" spans="1:7" x14ac:dyDescent="0.3">
      <c r="A43">
        <v>205</v>
      </c>
      <c r="B43">
        <v>0.53100000000000003</v>
      </c>
      <c r="C43">
        <v>0.57999999999999996</v>
      </c>
      <c r="D43">
        <v>0.69499999999999995</v>
      </c>
      <c r="E43">
        <v>0.73</v>
      </c>
      <c r="F43">
        <v>0.66</v>
      </c>
      <c r="G43">
        <v>0.63</v>
      </c>
    </row>
    <row r="44" spans="1:7" x14ac:dyDescent="0.3">
      <c r="A44">
        <v>210</v>
      </c>
      <c r="B44">
        <v>0.51</v>
      </c>
      <c r="C44">
        <v>0.49</v>
      </c>
      <c r="D44">
        <v>0.5</v>
      </c>
      <c r="E44">
        <v>0.53</v>
      </c>
      <c r="F44">
        <v>0.55500000000000005</v>
      </c>
      <c r="G44">
        <v>0.5</v>
      </c>
    </row>
    <row r="45" spans="1:7" x14ac:dyDescent="0.3">
      <c r="A45">
        <v>215</v>
      </c>
      <c r="B45">
        <v>0.502</v>
      </c>
      <c r="C45">
        <v>0.39700000000000002</v>
      </c>
      <c r="D45">
        <v>0.374</v>
      </c>
      <c r="E45">
        <v>0.35</v>
      </c>
      <c r="F45">
        <v>0.41</v>
      </c>
      <c r="G45">
        <v>0.315</v>
      </c>
    </row>
    <row r="46" spans="1:7" x14ac:dyDescent="0.3">
      <c r="A46">
        <v>220</v>
      </c>
      <c r="B46">
        <v>0.5</v>
      </c>
      <c r="C46">
        <v>0.31</v>
      </c>
      <c r="D46">
        <v>0.27700000000000002</v>
      </c>
      <c r="E46">
        <v>0.17499999999999999</v>
      </c>
      <c r="F46">
        <v>0.26500000000000001</v>
      </c>
      <c r="G46">
        <v>0.1</v>
      </c>
    </row>
    <row r="47" spans="1:7" x14ac:dyDescent="0.3">
      <c r="A47">
        <v>225</v>
      </c>
      <c r="B47">
        <v>0.505</v>
      </c>
      <c r="C47">
        <v>0.23</v>
      </c>
      <c r="D47">
        <v>0.19</v>
      </c>
      <c r="E47">
        <v>0</v>
      </c>
      <c r="F47">
        <v>6.5000000000000002E-2</v>
      </c>
      <c r="G47">
        <v>-7.4999999999999997E-2</v>
      </c>
    </row>
    <row r="48" spans="1:7" x14ac:dyDescent="0.3">
      <c r="A48">
        <v>230</v>
      </c>
      <c r="B48">
        <v>0.52</v>
      </c>
      <c r="C48">
        <v>0.155</v>
      </c>
      <c r="D48">
        <v>0.114</v>
      </c>
      <c r="E48">
        <v>-0.16</v>
      </c>
      <c r="F48">
        <v>-0.14000000000000001</v>
      </c>
      <c r="G48">
        <v>-0.315</v>
      </c>
    </row>
    <row r="49" spans="1:7" x14ac:dyDescent="0.3">
      <c r="A49">
        <v>235</v>
      </c>
      <c r="B49">
        <v>0.53900000000000003</v>
      </c>
      <c r="C49">
        <v>8.5000000000000006E-2</v>
      </c>
      <c r="D49">
        <v>5.8000000000000003E-2</v>
      </c>
      <c r="E49">
        <v>-0.29499999999999998</v>
      </c>
      <c r="F49">
        <v>-0.34499999999999997</v>
      </c>
      <c r="G49">
        <v>-0.51500000000000001</v>
      </c>
    </row>
    <row r="50" spans="1:7" x14ac:dyDescent="0.3">
      <c r="A50">
        <v>240</v>
      </c>
      <c r="B50">
        <v>0.56499999999999995</v>
      </c>
      <c r="C50">
        <v>1.7999999999999999E-2</v>
      </c>
      <c r="D50">
        <v>-1.4999999999999999E-2</v>
      </c>
      <c r="E50">
        <v>-0.42499999999999999</v>
      </c>
      <c r="F50">
        <v>-0.55000000000000004</v>
      </c>
      <c r="G50">
        <v>-0.71499999999999997</v>
      </c>
    </row>
    <row r="51" spans="1:7" x14ac:dyDescent="0.3">
      <c r="A51">
        <v>245</v>
      </c>
      <c r="B51">
        <v>0.59299999999999997</v>
      </c>
      <c r="C51">
        <v>-5.1999999999999998E-2</v>
      </c>
      <c r="D51">
        <v>-0.11</v>
      </c>
      <c r="E51">
        <v>-0.55000000000000004</v>
      </c>
      <c r="F51">
        <v>-0.745</v>
      </c>
      <c r="G51">
        <v>-0.88</v>
      </c>
    </row>
    <row r="52" spans="1:7" x14ac:dyDescent="0.3">
      <c r="A52">
        <v>250</v>
      </c>
      <c r="B52">
        <v>0.61499999999999999</v>
      </c>
      <c r="C52">
        <v>-0.123</v>
      </c>
      <c r="D52">
        <v>-0.22</v>
      </c>
      <c r="E52">
        <v>-0.67</v>
      </c>
      <c r="F52">
        <v>-0.96</v>
      </c>
      <c r="G52">
        <v>-1.03</v>
      </c>
    </row>
    <row r="53" spans="1:7" x14ac:dyDescent="0.3">
      <c r="A53">
        <v>255</v>
      </c>
      <c r="B53">
        <v>0.63400000000000001</v>
      </c>
      <c r="C53">
        <v>-0.22</v>
      </c>
      <c r="D53">
        <v>-0.33400000000000002</v>
      </c>
      <c r="E53">
        <v>-0.82</v>
      </c>
      <c r="F53">
        <v>-1.2</v>
      </c>
      <c r="G53">
        <v>-1.2250000000000001</v>
      </c>
    </row>
    <row r="54" spans="1:7" x14ac:dyDescent="0.3">
      <c r="A54">
        <v>260</v>
      </c>
      <c r="B54">
        <v>0.64</v>
      </c>
      <c r="C54">
        <v>-0.34300000000000003</v>
      </c>
      <c r="D54">
        <v>-0.44</v>
      </c>
      <c r="E54">
        <v>-0.99199999999999999</v>
      </c>
      <c r="F54">
        <v>-1.48</v>
      </c>
      <c r="G54">
        <v>-1.45</v>
      </c>
    </row>
    <row r="55" spans="1:7" x14ac:dyDescent="0.3">
      <c r="A55">
        <v>265</v>
      </c>
      <c r="B55">
        <v>0.63800000000000001</v>
      </c>
      <c r="C55">
        <v>-0.49</v>
      </c>
      <c r="D55">
        <v>-0.55000000000000004</v>
      </c>
      <c r="E55">
        <v>-1.2130000000000001</v>
      </c>
      <c r="F55">
        <v>-1.81</v>
      </c>
      <c r="G55">
        <v>-1.86</v>
      </c>
    </row>
    <row r="56" spans="1:7" x14ac:dyDescent="0.3">
      <c r="A56">
        <v>270</v>
      </c>
      <c r="B56">
        <v>0.63</v>
      </c>
      <c r="C56">
        <v>-0.63</v>
      </c>
      <c r="D56">
        <v>-0.67</v>
      </c>
      <c r="E56">
        <v>-1.5</v>
      </c>
      <c r="F56">
        <v>-2.2000000000000002</v>
      </c>
      <c r="G56">
        <v>-2.2000000000000002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README</vt:lpstr>
      <vt:lpstr>Проверка</vt:lpstr>
      <vt:lpstr>Unifloc</vt:lpstr>
      <vt:lpstr>Pumps</vt:lpstr>
      <vt:lpstr>CatalogData</vt:lpstr>
      <vt:lpstr>SuterWide</vt:lpstr>
      <vt:lpstr>esp_json_1</vt:lpstr>
      <vt:lpstr>feed_json</vt:lpstr>
      <vt:lpstr>PumpIds</vt:lpstr>
      <vt:lpstr>PVT_json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</cp:lastModifiedBy>
  <dcterms:created xsi:type="dcterms:W3CDTF">2026-04-18T10:24:53Z</dcterms:created>
  <dcterms:modified xsi:type="dcterms:W3CDTF">2026-04-18T11:48:30Z</dcterms:modified>
</cp:coreProperties>
</file>